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D:\1. Workspace\MIMIC\"/>
    </mc:Choice>
  </mc:AlternateContent>
  <xr:revisionPtr revIDLastSave="0" documentId="13_ncr:1_{9C193D77-6820-4FC7-83D5-A0A09F7683E9}" xr6:coauthVersionLast="45" xr6:coauthVersionMax="45" xr10:uidLastSave="{00000000-0000-0000-0000-000000000000}"/>
  <bookViews>
    <workbookView xWindow="-120" yWindow="-120" windowWidth="29040" windowHeight="15840" xr2:uid="{C9518B99-13B0-4723-AC20-F1E22E1E4124}"/>
  </bookViews>
  <sheets>
    <sheet name="Master - Reference" sheetId="1" r:id="rId1"/>
    <sheet name="A_CHARTDURATIONS" sheetId="3" r:id="rId2"/>
    <sheet name="ADDITIVES" sheetId="4" r:id="rId3"/>
    <sheet name="ADMISSIONS" sheetId="5" r:id="rId4"/>
    <sheet name="A_IODURATIONS" sheetId="6" r:id="rId5"/>
    <sheet name="A_MEDDURATIONS" sheetId="7" r:id="rId6"/>
    <sheet name="CENSUSEVENTS" sheetId="8" r:id="rId7"/>
    <sheet name="CHARTEVENTS" sheetId="9" r:id="rId8"/>
    <sheet name="COMORBIDITY_SCORES" sheetId="10" r:id="rId9"/>
    <sheet name="DELIVERIES" sheetId="11" r:id="rId10"/>
    <sheet name="DEMOGRAPHIC_DETAIL" sheetId="12" r:id="rId11"/>
    <sheet name="DEMOGRAPHICEVENTS" sheetId="13" r:id="rId12"/>
    <sheet name="D_PATIENTS" sheetId="14" r:id="rId13"/>
    <sheet name="DRGEVENTS" sheetId="15" r:id="rId14"/>
    <sheet name="ICD9" sheetId="16" r:id="rId15"/>
    <sheet name="ICUSTAY_DAYS" sheetId="17" r:id="rId16"/>
    <sheet name="ICUSTAY_DETAIL" sheetId="18" r:id="rId17"/>
    <sheet name="ICUSTAYEVENTS" sheetId="19" r:id="rId18"/>
    <sheet name="IOEVENTS" sheetId="20" r:id="rId19"/>
    <sheet name="LABEVENTS" sheetId="21" r:id="rId20"/>
    <sheet name="MEDEVENTS" sheetId="22" r:id="rId21"/>
    <sheet name="MICROBIOLOGYEVENTS" sheetId="23" r:id="rId22"/>
    <sheet name="NOTEEVENTS" sheetId="24" r:id="rId23"/>
    <sheet name="POE_MED" sheetId="25" r:id="rId24"/>
    <sheet name="POE_ORDER" sheetId="26" r:id="rId25"/>
    <sheet name="PROCEDUREEVENTS" sheetId="27" r:id="rId26"/>
    <sheet name="TOTALBALEVENTS" sheetId="28" r:id="rId27"/>
  </sheets>
  <definedNames>
    <definedName name="_xlnm._FilterDatabase" localSheetId="16" hidden="1">ICUSTAY_DETAIL!$C$10:$G$52</definedName>
    <definedName name="_xlnm._FilterDatabase" localSheetId="0" hidden="1">'Master - Reference'!$C$6:$E$32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2" i="27" l="1"/>
  <c r="E32" i="1"/>
  <c r="E31" i="1"/>
  <c r="E30" i="1"/>
  <c r="E29" i="1"/>
  <c r="E28" i="1"/>
  <c r="E27" i="1"/>
  <c r="E26" i="1"/>
  <c r="E25" i="1"/>
  <c r="E24" i="1"/>
  <c r="E23" i="1"/>
  <c r="E22" i="1"/>
  <c r="E21" i="1"/>
  <c r="E20" i="1"/>
  <c r="E19" i="1"/>
  <c r="E18" i="1"/>
  <c r="E17" i="1"/>
  <c r="E16" i="1"/>
  <c r="E15" i="1"/>
  <c r="E14" i="1"/>
  <c r="E13" i="1"/>
  <c r="E12" i="1"/>
  <c r="E11" i="1"/>
  <c r="E10" i="1"/>
  <c r="E8" i="1"/>
  <c r="E9" i="1"/>
  <c r="E7" i="1"/>
</calcChain>
</file>

<file path=xl/sharedStrings.xml><?xml version="1.0" encoding="utf-8"?>
<sst xmlns="http://schemas.openxmlformats.org/spreadsheetml/2006/main" count="1405" uniqueCount="495">
  <si>
    <t>A_CHARTDURATIONS</t>
  </si>
  <si>
    <t>ADDITIVES</t>
  </si>
  <si>
    <t>ADMISSIONS</t>
  </si>
  <si>
    <t>A_IODURATIONS</t>
  </si>
  <si>
    <t>A_MEDDURATIONS</t>
  </si>
  <si>
    <t>CENSUSEVENTS</t>
  </si>
  <si>
    <t>CHARTEVENTS</t>
  </si>
  <si>
    <t>COMORBIDITY_SCORES</t>
  </si>
  <si>
    <t>DELIVERIES</t>
  </si>
  <si>
    <t>DEMOGRAPHIC_DETAIL</t>
  </si>
  <si>
    <t>DEMOGRAPHICEVENTS</t>
  </si>
  <si>
    <t>D_PATIENTS</t>
  </si>
  <si>
    <t>DRGEVENTS</t>
  </si>
  <si>
    <t>ICD9</t>
  </si>
  <si>
    <t>ICUSTAY_DAYS</t>
  </si>
  <si>
    <t>ICUSTAY_DETAIL</t>
  </si>
  <si>
    <t>ICUSTAYEVENTS</t>
  </si>
  <si>
    <t>IOEVENTS</t>
  </si>
  <si>
    <t>LABEVENTS</t>
  </si>
  <si>
    <t>MEDEVENTS</t>
  </si>
  <si>
    <t>MICROBIOLOGYEVENTS</t>
  </si>
  <si>
    <t>NOTEEVENTS</t>
  </si>
  <si>
    <t>POE_MED</t>
  </si>
  <si>
    <t>POE_ORDER</t>
  </si>
  <si>
    <t>PROCEDUREEVENTS</t>
  </si>
  <si>
    <t>TOTALBALEVENTS</t>
  </si>
  <si>
    <t>SCHEMA NAME</t>
  </si>
  <si>
    <t>DESCRIPTION</t>
  </si>
  <si>
    <t>Column Name</t>
  </si>
  <si>
    <t>Data Type</t>
  </si>
  <si>
    <t>Nullable</t>
  </si>
  <si>
    <t>Comments</t>
  </si>
  <si>
    <t>HADM ID</t>
  </si>
  <si>
    <t>NUMBER</t>
  </si>
  <si>
    <t>N</t>
  </si>
  <si>
    <t>SUBJECT ID</t>
  </si>
  <si>
    <t>ADM DT</t>
  </si>
  <si>
    <t>DATE</t>
  </si>
  <si>
    <t>DISCH DT</t>
  </si>
  <si>
    <t>EXPIRE FLG</t>
  </si>
  <si>
    <t>CHAR</t>
  </si>
  <si>
    <t>Default value</t>
  </si>
  <si>
    <t>N'</t>
  </si>
  <si>
    <t>Table record unique	identier, the hospital admission ID</t>
  </si>
  <si>
    <t>The patient for the admission.</t>
  </si>
  <si>
    <t>Date and time the patient was admitted to the ICU</t>
  </si>
  <si>
    <t>Date and time the patient charged ICU</t>
  </si>
  <si>
    <t>ITEMID</t>
  </si>
  <si>
    <t>ELEMID</t>
  </si>
  <si>
    <t>STARTTIME</t>
  </si>
  <si>
    <t>STARTREALTIME</t>
  </si>
  <si>
    <t>Y</t>
  </si>
  <si>
    <t>ENDTIME</t>
  </si>
  <si>
    <t>CUID</t>
  </si>
  <si>
    <t>DURATION</t>
  </si>
  <si>
    <t>The patient for the chart event</t>
  </si>
  <si>
    <t>The chart item for the  duration record</t>
  </si>
  <si>
    <t>The start time of the chart item</t>
  </si>
  <si>
    <t>The end  time  of the chart item</t>
  </si>
  <si>
    <t>The care unit where  the chart event took place</t>
  </si>
  <si>
    <t>The duration  of the chart event</t>
  </si>
  <si>
    <t>The patient for the IO event.</t>
  </si>
  <si>
    <t>The IO item for the  duration record</t>
  </si>
  <si>
    <t>The start time of the IO event</t>
  </si>
  <si>
    <t>The end  time  of the IO event</t>
  </si>
  <si>
    <t>The duration  of the IO event</t>
  </si>
  <si>
    <t>The patient for the medication</t>
  </si>
  <si>
    <t>The  end  time  of the	medication event</t>
  </si>
  <si>
    <t>The medication item for duration record</t>
  </si>
  <si>
    <t>The start time of the medication event</t>
  </si>
  <si>
    <t>The care unit where the medication event 	place</t>
  </si>
  <si>
    <t>The  duration  of the medication event</t>
  </si>
  <si>
    <t>CENSUS ID</t>
  </si>
  <si>
    <t>INTIME</t>
  </si>
  <si>
    <t>OUTTIME</t>
  </si>
  <si>
    <t>CAREUNIT</t>
  </si>
  <si>
    <t>DESTCAREUNIT</t>
  </si>
  <si>
    <t>DISCHSTATUS</t>
  </si>
  <si>
    <t>VARCHAR2</t>
  </si>
  <si>
    <t>LOS</t>
  </si>
  <si>
    <t>Table record unique  identier, the  census event id.</t>
  </si>
  <si>
    <t>The time when the patient entered the ICU.</t>
  </si>
  <si>
    <t>The discharge status of the patient</t>
  </si>
  <si>
    <t>The partient  for the census event.</t>
  </si>
  <si>
    <t>The time when the patient left the ICU.</t>
  </si>
  <si>
    <t>The originating care unit  for  the event.</t>
  </si>
  <si>
    <t xml:space="preserve">The destination ICU	</t>
  </si>
  <si>
    <t>IOITEMID</t>
  </si>
  <si>
    <t>CHARTTIME</t>
  </si>
  <si>
    <t>CGID</t>
  </si>
  <si>
    <t>AMOUNT</t>
  </si>
  <si>
    <t>DOSEUNITS</t>
  </si>
  <si>
    <t>MLPERUNIT</t>
  </si>
  <si>
    <t>ROUTE</t>
  </si>
  <si>
    <t>REALTIME</t>
  </si>
  <si>
    <t>VALUE1</t>
  </si>
  <si>
    <t>VALUE1NUM</t>
  </si>
  <si>
    <t>VALUE1UOM</t>
  </si>
  <si>
    <t>VALUE2</t>
  </si>
  <si>
    <t>VALUE2NUM</t>
  </si>
  <si>
    <t>VALUE2UOM</t>
  </si>
  <si>
    <t>RESULTSTATUS</t>
  </si>
  <si>
    <t>STOPPED</t>
  </si>
  <si>
    <t>ANNOTATION</t>
  </si>
  <si>
    <t>The patient for the chart event.</t>
  </si>
  <si>
    <t>The chart item for the event record.</t>
  </si>
  <si>
    <t>The time of the chart event.</t>
  </si>
  <si>
    <t>The care giver for the chart event.</t>
  </si>
  <si>
    <t>The care unit where the chart event took place.</t>
  </si>
  <si>
    <t>The first chart event value.</t>
  </si>
  <si>
    <t>The first chart event value (cast to numeric value).</t>
  </si>
  <si>
    <t>The units of measurement for the first chart event 
value.</t>
  </si>
  <si>
    <t>The second chart event value.</t>
  </si>
  <si>
    <t>The second chart event value (cast to numeric value).</t>
  </si>
  <si>
    <t>The units of measurement for the second chart event value.</t>
  </si>
  <si>
    <t>SITE</t>
  </si>
  <si>
    <t>RATE</t>
  </si>
  <si>
    <t>RATEUOM</t>
  </si>
  <si>
    <t>The patient for the particular delivery.</t>
  </si>
  <si>
    <t>The IO item id for the delivery.</t>
  </si>
  <si>
    <t>The chart time of the IO delivery.</t>
  </si>
  <si>
    <t>The care giver for the delivery.</t>
  </si>
  <si>
    <t>The care unit for the delivery.</t>
  </si>
  <si>
    <t>The site of the de- livery.</t>
  </si>
  <si>
    <t>The delivery rate.</t>
  </si>
  <si>
    <t>The units of measurement  of  the rate of delivery.</t>
  </si>
  <si>
    <t>SEX</t>
  </si>
  <si>
    <t>DOB</t>
  </si>
  <si>
    <t>Table record unique identier, the subject id.</t>
  </si>
  <si>
    <t>The patient gender</t>
  </si>
  <si>
    <t>The date of birth of the patient</t>
  </si>
  <si>
    <t>SEQUENCE</t>
  </si>
  <si>
    <t>CODE</t>
  </si>
  <si>
    <t>The patient for the ICD9 code record.</t>
  </si>
  <si>
    <t>The hospital admission for the ICD9 code record.</t>
  </si>
  <si>
    <t>The ICD9 code.</t>
  </si>
  <si>
    <t>A description of the ICD9 code.</t>
  </si>
  <si>
    <t>ALTID</t>
  </si>
  <si>
    <t>VOLUME</t>
  </si>
  <si>
    <t>VOLUMEUOM</t>
  </si>
  <si>
    <t>UNITSHUNG</t>
  </si>
  <si>
    <t>UNITSHUNGUOM</t>
  </si>
  <si>
    <t>NEWBOTTLE</t>
  </si>
  <si>
    <t>ESTIMATE</t>
  </si>
  <si>
    <t>The parient for the IO event.</t>
  </si>
  <si>
    <t>The care giver for the IO event.</t>
  </si>
  <si>
    <t>The care unit for the IO event.</t>
  </si>
  <si>
    <t>The volume of the IO event.</t>
  </si>
  <si>
    <t>The units of measurement of the volume of the IO event.</t>
  </si>
  <si>
    <t>DOSE</t>
  </si>
  <si>
    <t>DOSEUOM</t>
  </si>
  <si>
    <t>SOLUTIONID</t>
  </si>
  <si>
    <t>SOLVOLUME</t>
  </si>
  <si>
    <t>SOLUNITS</t>
  </si>
  <si>
    <t xml:space="preserve">The care giver for the	medication event.			</t>
  </si>
  <si>
    <t>The care unit for the medication event.</t>
  </si>
  <si>
    <t>The volume of the medication event.</t>
  </si>
  <si>
    <t>The doseage of the medication event</t>
  </si>
  <si>
    <t>The solution used in the	medication 	event.</t>
  </si>
  <si>
    <t>The volume of solution	used in the medication event.</t>
  </si>
  <si>
    <t>The medication item id	 for the event.</t>
  </si>
  <si>
    <t>The chart time of the medication event.</t>
  </si>
  <si>
    <t>The units of measurement of	the doseage of	the medication event.</t>
  </si>
  <si>
    <t>The  units of the volume of solution used in the medication event</t>
  </si>
  <si>
    <t>NOTEID</t>
  </si>
  <si>
    <t>CORRECTION</t>
  </si>
  <si>
    <t>CATEGORY</t>
  </si>
  <si>
    <t>TITLE</t>
  </si>
  <si>
    <t>TEXT</t>
  </si>
  <si>
    <t>The Text of the note event</t>
  </si>
  <si>
    <t>The care unit for the note event.</t>
  </si>
  <si>
    <t>The care giver for the note event.</t>
  </si>
  <si>
    <t>The chart time of the note event.</t>
  </si>
  <si>
    <t>The note item for the event.</t>
  </si>
  <si>
    <t>The patient for the note event.</t>
  </si>
  <si>
    <t>POE ID</t>
  </si>
  <si>
    <t>DRUG TYPE</t>
  </si>
  <si>
    <t>DRUG NAME</t>
  </si>
  <si>
    <t>PROD STRENGTH</t>
  </si>
  <si>
    <t>FORM RX</t>
  </si>
  <si>
    <t>DOSE VAL RX</t>
  </si>
  <si>
    <t>DOSE UNIT RX</t>
  </si>
  <si>
    <t>FORM VAL DISP</t>
  </si>
  <si>
    <t>FORM UNIT DISP</t>
  </si>
  <si>
    <t>DOSE VAL DISP</t>
  </si>
  <si>
    <t>DOSE UNIT DISP</t>
  </si>
  <si>
    <t>DRUG NAME GENERIC</t>
  </si>
  <si>
    <t>DOSE RANGE OVERRIDE</t>
  </si>
  <si>
    <t>START DT</t>
  </si>
  <si>
    <t>STOP DT</t>
  </si>
  <si>
    <t>ENTER DT</t>
  </si>
  <si>
    <t>MEDICATION</t>
  </si>
  <si>
    <t>STATUS</t>
  </si>
  <si>
    <t>FREQUENCY</t>
  </si>
  <si>
    <t>DISPENSE SCHED</t>
  </si>
  <si>
    <t>IV FLUID</t>
  </si>
  <si>
    <t>IV RATE</t>
  </si>
  <si>
    <t>INFUSION TYPE</t>
  </si>
  <si>
    <t>SLIDING SCALE</t>
  </si>
  <si>
    <t>DOSES PER 24HRS</t>
  </si>
  <si>
    <t>DURATION INTVL</t>
  </si>
  <si>
    <t>EXPIRATION VAL</t>
  </si>
  <si>
    <t>EXPIRATION DT</t>
  </si>
  <si>
    <t>LABEL INSTR</t>
  </si>
  <si>
    <t>MD ADD INSTR</t>
  </si>
  <si>
    <t>PROCEDURE TYPE</t>
  </si>
  <si>
    <t>EXPIRATION UNIT</t>
  </si>
  <si>
    <t>ADDITIONAL INSTR</t>
  </si>
  <si>
    <t>RNURSE ADD INSTR</t>
  </si>
  <si>
    <t>RESET</t>
  </si>
  <si>
    <t>PERVOLUME</t>
  </si>
  <si>
    <t>CUMVOLUME</t>
  </si>
  <si>
    <t>ACCUMPERIOD</t>
  </si>
  <si>
    <t>APPROX</t>
  </si>
  <si>
    <t>subject_id</t>
  </si>
  <si>
    <t>hadm_id</t>
  </si>
  <si>
    <t>category</t>
  </si>
  <si>
    <t>congestive_heart_failure</t>
  </si>
  <si>
    <t>cardiac_arrhythmias</t>
  </si>
  <si>
    <t>valvular_disease</t>
  </si>
  <si>
    <t>pulmonary_circulation</t>
  </si>
  <si>
    <t>peripheral_vascular</t>
  </si>
  <si>
    <t>hypertension</t>
  </si>
  <si>
    <t>paralysis</t>
  </si>
  <si>
    <t>other_neurological</t>
  </si>
  <si>
    <t>chronic_pulmonary</t>
  </si>
  <si>
    <t>diabetes_uncomplicated</t>
  </si>
  <si>
    <t>diabetes_complicated</t>
  </si>
  <si>
    <t>hypothyroidism</t>
  </si>
  <si>
    <t>renal_failure</t>
  </si>
  <si>
    <t>liver_disease</t>
  </si>
  <si>
    <t>peptic_ulcer</t>
  </si>
  <si>
    <t>aids</t>
  </si>
  <si>
    <t>lymphoma</t>
  </si>
  <si>
    <t>metastatic_cancer</t>
  </si>
  <si>
    <t>solid_tumor</t>
  </si>
  <si>
    <t>rheumatoid_arthritis</t>
  </si>
  <si>
    <t>coagulopathy</t>
  </si>
  <si>
    <t>obesity</t>
  </si>
  <si>
    <t>weight_loss</t>
  </si>
  <si>
    <t>fluid_electrolyte</t>
  </si>
  <si>
    <t>blood_loss_anemia</t>
  </si>
  <si>
    <t>deficiency_anemias</t>
  </si>
  <si>
    <t>alcohol_abuse</t>
  </si>
  <si>
    <t>drug_abuse</t>
  </si>
  <si>
    <t>psychoses</t>
  </si>
  <si>
    <t>depression</t>
  </si>
  <si>
    <t>integer</t>
  </si>
  <si>
    <t>float</t>
  </si>
  <si>
    <t>marital_status_itemid</t>
  </si>
  <si>
    <t>marital_status_descr</t>
  </si>
  <si>
    <t>ethnicity_itemid</t>
  </si>
  <si>
    <t>ethnicity_descr</t>
  </si>
  <si>
    <t>overall_payor_group_itemid</t>
  </si>
  <si>
    <t>overall_payor_group_descr</t>
  </si>
  <si>
    <t>religion_itemid</t>
  </si>
  <si>
    <t>religion_descr</t>
  </si>
  <si>
    <t>admission_type_itemid</t>
  </si>
  <si>
    <t>admission_type_descr</t>
  </si>
  <si>
    <t>admission_source_itemid</t>
  </si>
  <si>
    <t>admission_source_descr</t>
  </si>
  <si>
    <t>varchar(50)</t>
  </si>
  <si>
    <t>itemid</t>
  </si>
  <si>
    <t>cost_weight</t>
  </si>
  <si>
    <t>icustay_id</t>
  </si>
  <si>
    <t>seq</t>
  </si>
  <si>
    <t>begintime</t>
  </si>
  <si>
    <t>endtime</t>
  </si>
  <si>
    <t>first_day_flg</t>
  </si>
  <si>
    <t>last_day_flg</t>
  </si>
  <si>
    <t>char(1)</t>
  </si>
  <si>
    <t>timestamp</t>
  </si>
  <si>
    <t>gender</t>
  </si>
  <si>
    <t>dob</t>
  </si>
  <si>
    <t>dod</t>
  </si>
  <si>
    <t>expire_flg</t>
  </si>
  <si>
    <t>subject_icustay_total_num</t>
  </si>
  <si>
    <t>subject_icustay_seq</t>
  </si>
  <si>
    <t>hospital_total_num</t>
  </si>
  <si>
    <t>hospital_seq</t>
  </si>
  <si>
    <t>hospital_first_flg</t>
  </si>
  <si>
    <t>hospital_last_flg</t>
  </si>
  <si>
    <t>hospital_admit_dt</t>
  </si>
  <si>
    <t>hospital_disch_dt</t>
  </si>
  <si>
    <t>hospital_los</t>
  </si>
  <si>
    <t>hospital_expire_flg</t>
  </si>
  <si>
    <t>icustay_total_num</t>
  </si>
  <si>
    <t>icustay_seq</t>
  </si>
  <si>
    <t>icustay_first_flg</t>
  </si>
  <si>
    <t>icustay_last_flg</t>
  </si>
  <si>
    <t>icustay_intime</t>
  </si>
  <si>
    <t>icustay_outtime</t>
  </si>
  <si>
    <t>icustay_admit_age</t>
  </si>
  <si>
    <t>icustay_age_group</t>
  </si>
  <si>
    <t>icustay_los</t>
  </si>
  <si>
    <t>icustay_expire_flg</t>
  </si>
  <si>
    <t>icustay_first_careunit</t>
  </si>
  <si>
    <t>icustay_last_careunit</t>
  </si>
  <si>
    <t>icustay_first_service</t>
  </si>
  <si>
    <t>icustay_last_service</t>
  </si>
  <si>
    <t>height</t>
  </si>
  <si>
    <t>weight_first</t>
  </si>
  <si>
    <t>weight_min</t>
  </si>
  <si>
    <t>weight_max</t>
  </si>
  <si>
    <t>sapsi_first</t>
  </si>
  <si>
    <t>sapsi_min</t>
  </si>
  <si>
    <t>sapsi_max</t>
  </si>
  <si>
    <t>sofa_first</t>
  </si>
  <si>
    <t>sofa_min</t>
  </si>
  <si>
    <t>sofa_max</t>
  </si>
  <si>
    <t>matched_waveforms_num</t>
  </si>
  <si>
    <t>varchar(1)</t>
  </si>
  <si>
    <t>varchar(7)</t>
  </si>
  <si>
    <t>varchar(20)</t>
  </si>
  <si>
    <t>varchar(110)</t>
  </si>
  <si>
    <t>intime</t>
  </si>
  <si>
    <t>outtime</t>
  </si>
  <si>
    <t>los</t>
  </si>
  <si>
    <t>first_careunit</t>
  </si>
  <si>
    <t>last_careunit</t>
  </si>
  <si>
    <t>charttime</t>
  </si>
  <si>
    <t>value</t>
  </si>
  <si>
    <t>valuenum</t>
  </si>
  <si>
    <t>flag</t>
  </si>
  <si>
    <t>valueuom</t>
  </si>
  <si>
    <t>varchar(10)</t>
  </si>
  <si>
    <t>varchar(100)</t>
  </si>
  <si>
    <t>spec_itemid</t>
  </si>
  <si>
    <t>org_itemid</t>
  </si>
  <si>
    <t>isolate_num</t>
  </si>
  <si>
    <t>ab_itemid</t>
  </si>
  <si>
    <t>dilution_amount</t>
  </si>
  <si>
    <t>dilution_comparison</t>
  </si>
  <si>
    <t>interpretation</t>
  </si>
  <si>
    <t>varchar(72)</t>
  </si>
  <si>
    <t>sequence_num</t>
  </si>
  <si>
    <t>proc_dt</t>
  </si>
  <si>
    <t>Database:</t>
  </si>
  <si>
    <r>
      <rPr>
        <b/>
        <sz val="20"/>
        <color theme="1"/>
        <rFont val="Calibri"/>
        <family val="2"/>
        <scheme val="minor"/>
      </rPr>
      <t>M</t>
    </r>
    <r>
      <rPr>
        <sz val="20"/>
        <color theme="1"/>
        <rFont val="Calibri"/>
        <family val="2"/>
        <scheme val="minor"/>
      </rPr>
      <t xml:space="preserve">edical </t>
    </r>
    <r>
      <rPr>
        <b/>
        <sz val="20"/>
        <color theme="1"/>
        <rFont val="Calibri"/>
        <family val="2"/>
        <scheme val="minor"/>
      </rPr>
      <t>I</t>
    </r>
    <r>
      <rPr>
        <sz val="20"/>
        <color theme="1"/>
        <rFont val="Calibri"/>
        <family val="2"/>
        <scheme val="minor"/>
      </rPr>
      <t xml:space="preserve">nformation </t>
    </r>
    <r>
      <rPr>
        <b/>
        <sz val="20"/>
        <color theme="1"/>
        <rFont val="Calibri"/>
        <family val="2"/>
        <scheme val="minor"/>
      </rPr>
      <t>M</t>
    </r>
    <r>
      <rPr>
        <sz val="20"/>
        <color theme="1"/>
        <rFont val="Calibri"/>
        <family val="2"/>
        <scheme val="minor"/>
      </rPr>
      <t xml:space="preserve">art for </t>
    </r>
    <r>
      <rPr>
        <b/>
        <sz val="20"/>
        <color theme="1"/>
        <rFont val="Calibri"/>
        <family val="2"/>
        <scheme val="minor"/>
      </rPr>
      <t>I</t>
    </r>
    <r>
      <rPr>
        <sz val="20"/>
        <color theme="1"/>
        <rFont val="Calibri"/>
        <family val="2"/>
        <scheme val="minor"/>
      </rPr>
      <t xml:space="preserve">ntensive </t>
    </r>
    <r>
      <rPr>
        <b/>
        <sz val="20"/>
        <color theme="1"/>
        <rFont val="Calibri"/>
        <family val="2"/>
        <scheme val="minor"/>
      </rPr>
      <t>C</t>
    </r>
    <r>
      <rPr>
        <sz val="20"/>
        <color theme="1"/>
        <rFont val="Calibri"/>
        <family val="2"/>
        <scheme val="minor"/>
      </rPr>
      <t>are</t>
    </r>
  </si>
  <si>
    <t>The ADMISSIONS table gives information regarding a patient’s admission to the hospital. Since each unique hospital visit for a patient is assigned a unique HADM_ID, the ADMISSIONS table can be considered as a definition table for HADM_ID. Information available includes timing information for admission and discharge, demographic information, the source of the admission, and so on</t>
  </si>
  <si>
    <t>This table Contains microbiology information, including tests performed and sensitivities</t>
  </si>
  <si>
    <t>The LABEVENTS data contains information regarding laboratory based measurements. The process for acquiring a lab measurement is as follows: first, a member of the clinical staff acquires a fluid from a site in the patient’s body (e.g. blood from an arterial line, urine from a catheter, etc). Next, the fluid is bar coded to associate it with the patient and timestamped to record the time of the fluid acquisition. The lab analyses the data and returns a result within 4-12 hours.</t>
  </si>
  <si>
    <t>Defines each SUBJECT_ID in the database, i.e. defines a single patient.</t>
  </si>
  <si>
    <t>CHARTEVENTS contains all the charted data available for a patient. During their ICU stay, the primary repository of a patient’s information is their electronic chart. The electronic chart displays patients’ routine vital signs and any additional information relevant to their care: ventilator settings, laboratory values, code status, mental status, and so on. As a result, the bulk of information about a patient’s stay is contained in CHARTEVENTS. Furthermore, even though laboratory values are captured elsewhere (LABEVENTS), they are frequently repeated within CHARTEVENTS. This occurs because it is desirable to display the laboratory values on the patient’s electronic chart, and so the values are copied from the database storing laboratory values to the database storing the CHARTEVENTS.</t>
  </si>
  <si>
    <t>char(10)</t>
  </si>
  <si>
    <t>Elixhauser</t>
  </si>
  <si>
    <t>Patienrt identification number</t>
  </si>
  <si>
    <t>Hospital Admission identificatio Number</t>
  </si>
  <si>
    <t>Comorbidity risk score corresponding to disease condition</t>
  </si>
  <si>
    <t>Comorbidity (presence of one or more additional conditions co-occurring with primary health condition) risk adjustment models</t>
  </si>
  <si>
    <t>Patient Comorbidity index for all the secondary disease along with primary</t>
  </si>
  <si>
    <t>Description</t>
  </si>
  <si>
    <r>
      <rPr>
        <b/>
        <sz val="20"/>
        <color theme="1"/>
        <rFont val="Calibri"/>
        <family val="2"/>
        <scheme val="minor"/>
      </rPr>
      <t>Table Name</t>
    </r>
    <r>
      <rPr>
        <sz val="20"/>
        <color theme="1"/>
        <rFont val="Calibri"/>
        <family val="2"/>
        <scheme val="minor"/>
      </rPr>
      <t xml:space="preserve">: </t>
    </r>
  </si>
  <si>
    <t>The care unit where the IO event took place (MICU, CCU, NICU, etc.,)</t>
  </si>
  <si>
    <r>
      <t xml:space="preserve">Patients Input / Output event and its time. </t>
    </r>
    <r>
      <rPr>
        <b/>
        <sz val="11"/>
        <color theme="1"/>
        <rFont val="Calibri"/>
        <family val="2"/>
        <scheme val="minor"/>
      </rPr>
      <t>Example</t>
    </r>
    <r>
      <rPr>
        <sz val="11"/>
        <color theme="1"/>
        <rFont val="Calibri"/>
        <family val="2"/>
        <scheme val="minor"/>
      </rPr>
      <t xml:space="preserve"> : Type of IV infusions provided to a patient during their ICU stay and start and End time of the IV event</t>
    </r>
  </si>
  <si>
    <r>
      <t xml:space="preserve">Medication(s) given to a patient are recorded in this table. </t>
    </r>
    <r>
      <rPr>
        <b/>
        <sz val="11"/>
        <color theme="1"/>
        <rFont val="Calibri"/>
        <family val="2"/>
        <scheme val="minor"/>
      </rPr>
      <t>Example</t>
    </r>
    <r>
      <rPr>
        <sz val="11"/>
        <color theme="1"/>
        <rFont val="Calibri"/>
        <family val="2"/>
        <scheme val="minor"/>
      </rPr>
      <t>: If a patient is with calcium deficiencies then thru IV infusion method  Medication "Calcium Gluconate" will get infused. Here medication refers to the drugs given to the patient</t>
    </r>
  </si>
  <si>
    <t>Each time a patient enters or leaves a particular care unit, an event is recorded into the database in the table censusevents. Each of these events (identified by the column census id), contain the time and date of entrance and exit of the care unit, the current unit the patient was hosted, the destination care unit the patient was transferred to, and the length of stay in the ICU room for that particular event.</t>
  </si>
  <si>
    <r>
      <t xml:space="preserve">Its related to the I/O Events and the details in the table indicates that the rate at which the medication has infused to the patient. </t>
    </r>
    <r>
      <rPr>
        <b/>
        <sz val="11"/>
        <color theme="1"/>
        <rFont val="Calibri"/>
        <family val="2"/>
        <scheme val="minor"/>
      </rPr>
      <t>Example</t>
    </r>
    <r>
      <rPr>
        <sz val="11"/>
        <color theme="1"/>
        <rFont val="Calibri"/>
        <family val="2"/>
        <scheme val="minor"/>
      </rPr>
      <t>:  D5W (Dextrose) is a form of glucose can be infused to the patients depends on their health condition such as 10 ml/hr or 18.5 ml/hr, etc.,</t>
    </r>
  </si>
  <si>
    <t>Patient identificatiom number</t>
  </si>
  <si>
    <t>Hospital admission Id</t>
  </si>
  <si>
    <t>Marital status code</t>
  </si>
  <si>
    <r>
      <t xml:space="preserve">Admission source. </t>
    </r>
    <r>
      <rPr>
        <b/>
        <sz val="11"/>
        <color theme="1"/>
        <rFont val="Calibri"/>
        <family val="2"/>
        <scheme val="minor"/>
      </rPr>
      <t>Example</t>
    </r>
    <r>
      <rPr>
        <sz val="11"/>
        <color theme="1"/>
        <rFont val="Calibri"/>
        <family val="2"/>
        <scheme val="minor"/>
      </rPr>
      <t xml:space="preserve"> - Trasferred from different hospital,MICU to CCU, etc.,</t>
    </r>
  </si>
  <si>
    <t>Marital status description such as "Married", etc.,</t>
  </si>
  <si>
    <t xml:space="preserve">Ethnicity code </t>
  </si>
  <si>
    <t>Ethnicity description such as "WHITE", "African American","Hispanic",  etc.,</t>
  </si>
  <si>
    <t>Payor group id</t>
  </si>
  <si>
    <t>Payor type / description such as "Private", "Govt funded", etc.,</t>
  </si>
  <si>
    <t>Religion identification code</t>
  </si>
  <si>
    <t>Religion description such as "BUDDHIST", etc.,</t>
  </si>
  <si>
    <t>Admission identification code</t>
  </si>
  <si>
    <t>Type of admission such as "Emergency", "Newborn", etc.,</t>
  </si>
  <si>
    <t>Admission source ID</t>
  </si>
  <si>
    <t>Patients demographic details. This details will be captured  at the time of admission to any Care units</t>
  </si>
  <si>
    <t>Additional demographic details about the patient such as "Admisison source - HMO referal, Religion - Patient denied to provide, Payor group name - Auto liability, etc.,"</t>
  </si>
  <si>
    <t>Patient identification Number</t>
  </si>
  <si>
    <t>Patients hospital admission identification number</t>
  </si>
  <si>
    <t>Item Id denotes the additional details about patient demography</t>
  </si>
  <si>
    <r>
      <rPr>
        <b/>
        <sz val="11"/>
        <color theme="1"/>
        <rFont val="Calibri"/>
        <family val="2"/>
        <scheme val="minor"/>
      </rPr>
      <t>D</t>
    </r>
    <r>
      <rPr>
        <sz val="11"/>
        <color theme="1"/>
        <rFont val="Calibri"/>
        <family val="2"/>
        <scheme val="minor"/>
      </rPr>
      <t xml:space="preserve">rug </t>
    </r>
    <r>
      <rPr>
        <b/>
        <sz val="11"/>
        <color theme="1"/>
        <rFont val="Calibri"/>
        <family val="2"/>
        <scheme val="minor"/>
      </rPr>
      <t>R</t>
    </r>
    <r>
      <rPr>
        <sz val="11"/>
        <color theme="1"/>
        <rFont val="Calibri"/>
        <family val="2"/>
        <scheme val="minor"/>
      </rPr>
      <t xml:space="preserve">elated </t>
    </r>
    <r>
      <rPr>
        <b/>
        <sz val="11"/>
        <color theme="1"/>
        <rFont val="Calibri"/>
        <family val="2"/>
        <scheme val="minor"/>
      </rPr>
      <t>G</t>
    </r>
    <r>
      <rPr>
        <sz val="11"/>
        <color theme="1"/>
        <rFont val="Calibri"/>
        <family val="2"/>
        <scheme val="minor"/>
      </rPr>
      <t>roup is a patient classification system that standardizes prospective payment to hospitals and encourages cost containment initiatives.</t>
    </r>
  </si>
  <si>
    <t>The DRG weight is multiplied by the hospital’s payment rate per case. All hospitals are reimbursed on the basis of one of two Federal rates--“large urban” or “other.</t>
  </si>
  <si>
    <t>Hospital admission identification number</t>
  </si>
  <si>
    <t>DRG event id. Example - A number to denote "Chemo therapy"</t>
  </si>
  <si>
    <t>Sequence number / row number of an event</t>
  </si>
  <si>
    <r>
      <t xml:space="preserve">Patients diagnosis event details. </t>
    </r>
    <r>
      <rPr>
        <b/>
        <sz val="11"/>
        <color theme="1"/>
        <rFont val="Calibri"/>
        <family val="2"/>
        <scheme val="minor"/>
      </rPr>
      <t>Example</t>
    </r>
    <r>
      <rPr>
        <sz val="11"/>
        <color theme="1"/>
        <rFont val="Calibri"/>
        <family val="2"/>
        <scheme val="minor"/>
      </rPr>
      <t xml:space="preserve"> : Diagnosis test related "Iron Deficiency Anemia", etc.,</t>
    </r>
  </si>
  <si>
    <t>A flag (Y/N) denotes Last day in the care unit</t>
  </si>
  <si>
    <t>A flag (Y/N) denotes First day in the care unit</t>
  </si>
  <si>
    <t>Data and time of the Care unit event. Usually this will be captured on everyday basis</t>
  </si>
  <si>
    <t>Data and time of the Care unit event. Usually this will be captured on everyday basis. To get Total number of care unit stay, we have to refer "First day" flag and "Last day" flag and compute the days difference</t>
  </si>
  <si>
    <t>Patients Care unit stay details. Mostly this table helps to calculate total number of care unit stay for a given patient with help of "First" and "Last" day flag(Y/N)</t>
  </si>
  <si>
    <t>Date of Birth of the patient</t>
  </si>
  <si>
    <t>A Unique number denotes ICU Stay</t>
  </si>
  <si>
    <t>Gender code of the Patient</t>
  </si>
  <si>
    <t>Patients Expire flag. The Value "N"  denotes, the patient is alive</t>
  </si>
  <si>
    <t>Date of Death. Blank / NULL value denotes the patient is alive</t>
  </si>
  <si>
    <t>Length of stay in hospital</t>
  </si>
  <si>
    <t>Length of Stay in the care unit</t>
  </si>
  <si>
    <t>Care unit in which Patient admitted initially</t>
  </si>
  <si>
    <t>Care unit from which Patient discharged</t>
  </si>
  <si>
    <t>Height of the patient</t>
  </si>
  <si>
    <t>Weight at the time of admission</t>
  </si>
  <si>
    <t>Minimum weight of the patient</t>
  </si>
  <si>
    <t>Maximum weight of the patient</t>
  </si>
  <si>
    <t>Initial Simplified Acute Physiology Score (SAPS) - Calculated at the time of admisison based on Heart rate, BP, Urine test, WBC, etc.,</t>
  </si>
  <si>
    <t>Minimum SAPS</t>
  </si>
  <si>
    <t>Maximum SAPS</t>
  </si>
  <si>
    <t>Initial Sequential Organ Failure Assessment(SOFA) - Calculated based on Platelets count, Creatinine, etc.,</t>
  </si>
  <si>
    <t>Minimum SOFA</t>
  </si>
  <si>
    <t>Maximum SOFA</t>
  </si>
  <si>
    <t>First day in the Care Unit</t>
  </si>
  <si>
    <t>Last day in the Care Unit</t>
  </si>
  <si>
    <t xml:space="preserve">ICU Out-time </t>
  </si>
  <si>
    <t xml:space="preserve">ICU In-time </t>
  </si>
  <si>
    <t>A flag (Y/N) denotes the first day of the admission in the hospital</t>
  </si>
  <si>
    <t>A flag (Y/N) denotes the Last day  in the hospital</t>
  </si>
  <si>
    <t>Hospital admission date</t>
  </si>
  <si>
    <t>Hospital discharged date</t>
  </si>
  <si>
    <t>A flag (Y/N) denotes first day in the Care Unit</t>
  </si>
  <si>
    <t>A flag (Y/N) denotes Last day in the Care Unit</t>
  </si>
  <si>
    <t>Patients age at the time of admission in the Care unit</t>
  </si>
  <si>
    <t>Patient Age group</t>
  </si>
  <si>
    <t>A flag (Y/N) denotes whether the patient expired in the Care unit</t>
  </si>
  <si>
    <t>Patients care Unit event details. This table will contains hospital admission, discharged, Care unit Admission, discharged, patients age, date of death, etc.,</t>
  </si>
  <si>
    <t>Clinical Notes for the patients. Usually during the stay in the Care unit, skilled Nurse / Physician will leave a note about the patients health condition. Sometime, critical health information about patients such as Mortaility event, Comorbidity condition, infections,etc. will be captured in the notes</t>
  </si>
  <si>
    <t>Patients Care unit stay details are captured in a single line. This table will provide an overview of the patients care unit stay such as "Admission date, discharged date, length of stay, Care unit at the time of admission and discharged, etc.,"</t>
  </si>
  <si>
    <t>Date and Time of the discharge the care unit</t>
  </si>
  <si>
    <t>Date and Time of the admission in the care unit</t>
  </si>
  <si>
    <t>Care unit ID - At the time of an admission</t>
  </si>
  <si>
    <t>Care unit ID - At the time of an discharge</t>
  </si>
  <si>
    <t>Total Length of stay in the Care unit (in Minutes)</t>
  </si>
  <si>
    <r>
      <t xml:space="preserve">Patients Input / Output event during their Care unit stay. </t>
    </r>
    <r>
      <rPr>
        <b/>
        <sz val="11"/>
        <color theme="1"/>
        <rFont val="Calibri"/>
        <family val="2"/>
        <scheme val="minor"/>
      </rPr>
      <t>Example</t>
    </r>
    <r>
      <rPr>
        <sz val="11"/>
        <color theme="1"/>
        <rFont val="Calibri"/>
        <family val="2"/>
        <scheme val="minor"/>
      </rPr>
      <t xml:space="preserve"> : Type of IV infusions provided to a patient during their ICU stay and start and End time of the IV event</t>
    </r>
  </si>
  <si>
    <t>SUBJECT_ID</t>
  </si>
  <si>
    <t>ICUSTAY_ID</t>
  </si>
  <si>
    <t>Time of the event</t>
  </si>
  <si>
    <t>VARCHAR</t>
  </si>
  <si>
    <t>Total volume of the unit in the bottle</t>
  </si>
  <si>
    <t>The units of measurement of the volume</t>
  </si>
  <si>
    <t>Hospital admission identification Number</t>
  </si>
  <si>
    <t>Date and Time of the Lab Event</t>
  </si>
  <si>
    <t>Diagnosis test value</t>
  </si>
  <si>
    <r>
      <t xml:space="preserve">A flag to denote the result of the test. </t>
    </r>
    <r>
      <rPr>
        <b/>
        <sz val="11"/>
        <color theme="1"/>
        <rFont val="Calibri"/>
        <family val="2"/>
        <scheme val="minor"/>
      </rPr>
      <t>Example</t>
    </r>
    <r>
      <rPr>
        <sz val="11"/>
        <color theme="1"/>
        <rFont val="Calibri"/>
        <family val="2"/>
        <scheme val="minor"/>
      </rPr>
      <t xml:space="preserve"> : Abnormal,etc.,</t>
    </r>
  </si>
  <si>
    <t>The units of measurement</t>
  </si>
  <si>
    <t>Medication infuse route (IV, Injection, etc.,)</t>
  </si>
  <si>
    <t xml:space="preserve">Medication(s) given to a patient are recorded in this table. </t>
  </si>
  <si>
    <t>The chart time of the Micro bio event.</t>
  </si>
  <si>
    <t>Pharmacy provider order entry (Pharmacy claims) - The medication and the dosage details are captured from the pharmacy</t>
  </si>
  <si>
    <t>Generic Name of the Drug</t>
  </si>
  <si>
    <t>Drug Name (Drug name appears in the bottl / vial, etc.,)</t>
  </si>
  <si>
    <t>Type of the drug given to the patient ("Main" to address the primary disease and treatment and "Base" is a supportive medications such as D5W, etc.,</t>
  </si>
  <si>
    <t>A Unique number to represent POE Event</t>
  </si>
  <si>
    <t>Strength of the product / drug</t>
  </si>
  <si>
    <t>Dosage form of the drug (Vial, bottle, etc,)</t>
  </si>
  <si>
    <t>Dosage Volume (Total quantity - 200 ml, etc.,)</t>
  </si>
  <si>
    <t>Drug dosage unit (ml, etc.,)</t>
  </si>
  <si>
    <t>Dispensed form volume. Example - Out of 200 ml, 50 ml dispensed to the patient per the prescription</t>
  </si>
  <si>
    <t>Dispensed form unit (ml, etc.,)</t>
  </si>
  <si>
    <t>Dispensed Dosage form of the drug (Vial, bottle, etc,)</t>
  </si>
  <si>
    <t>Dispensed Dosage Volume (Total quantity - 200 ml, etc.,)</t>
  </si>
  <si>
    <t>Comments to justify the over dosage of the drug</t>
  </si>
  <si>
    <t>Pharmacy provider order entry (Pharmacy claims) - The medication and the dosage details are captured from the pharmacy - Detailed version of the data captured based on the usage.All the fields are related to POE_MED table</t>
  </si>
  <si>
    <r>
      <t xml:space="preserve">Item to denote the procedure. </t>
    </r>
    <r>
      <rPr>
        <b/>
        <sz val="11"/>
        <color theme="1"/>
        <rFont val="Calibri"/>
        <family val="2"/>
        <scheme val="minor"/>
      </rPr>
      <t>Example</t>
    </r>
    <r>
      <rPr>
        <sz val="11"/>
        <color theme="1"/>
        <rFont val="Calibri"/>
        <family val="2"/>
        <scheme val="minor"/>
      </rPr>
      <t xml:space="preserve"> : Knee Arthroscopy, Oint Biopsy</t>
    </r>
  </si>
  <si>
    <t>Procedure Date</t>
  </si>
  <si>
    <t>Medical Procedure performed to the patients durign their stay. Procedure (Knee Arthroscopy, Oint Biopsy, etc.,) can be performed either prior or after the diagnosis result</t>
  </si>
  <si>
    <t>Total Fluid balance event</t>
  </si>
  <si>
    <t>Item to represents the event such as D5W drugs is infused thru IV</t>
  </si>
  <si>
    <t>Date and Time of the event</t>
  </si>
  <si>
    <t>Actual time IV started to infuse to gthe patient. There will be slight different In time between "Charttime" and this variable</t>
  </si>
  <si>
    <t>The care giver id related to this event</t>
  </si>
  <si>
    <t>The care unit id related to this event</t>
  </si>
  <si>
    <t>Accumulation period. Example - Multiple days need this infusion, One time event, etc.,</t>
  </si>
  <si>
    <t>Patient medical chart data is recorded in the chartevents, d chartitems, a chartdurations and formevents tables</t>
  </si>
  <si>
    <t>Patient input/output (IO) data is recorded in the ioevents, d ioitems, a iodurations, deliveries, totalbalevents and additives tables.</t>
  </si>
  <si>
    <t>SUBJECT_ID,ICUSTAY_ID,ITEMID,ELEMID,STARTTIME,STARTREALTIME,ENDTIME,CUID,DURATION</t>
  </si>
  <si>
    <t>SUBJECT_ID,ICUSTAY_ID,ITEMID,IOITEMID,CHARTTIME,ELEMID,CGID,CUID,AMOUNT,DOSEUNITS,ROUTE</t>
  </si>
  <si>
    <t>HADM_ID,SUBJECT_ID,ADMIT_DT,DISCH_DT</t>
  </si>
  <si>
    <t>CENSUS_ID,SUBJECT_ID,INTIME,OUTTIME,CAREUNIT,DESTCAREUNIT,DISCHSTATUS,LOS,ICUSTAY_ID</t>
  </si>
  <si>
    <t>SUBJECT_ID,ICUSTAY_ID,ITEMID,CHARTTIME,ELEMID,REALTIME,CGID,CUID,VALUE1,VALUE1NUM,VALUE1UOM,VALUE2,VALUE2NUM,VALUE2UOM,RESULTSTATUS,STOPPED</t>
  </si>
  <si>
    <t>SUBJECT_ID,HADM_ID,CATEGORY,CONGESTIVE_HEART_FAILURE,CARDIAC_ARRHYTHMIAS,VALVULAR_DISEASE,PULMONARY_CIRCULATION,PERIPHERAL_VASCULAR,HYPERTENSION,PARALYSIS,OTHER_NEUROLOGICAL,CHRONIC_PULMONARY,DIABETES_UNCOMPLICATED,DIABETES_COMPLICATED,HYPOTHYROIDISM,RENAL_FAILURE,LIVER_DISEASE,PEPTIC_ULCER,AIDS,LYMPHOMA,METASTATIC_CANCER,SOLID_TUMOR,RHEUMATOID_ARTHRITIS,COAGULOPATHY,OBESITY,WEIGHT_LOSS,FLUID_ELECTROLYTE,BLOOD_LOSS_ANEMIA,DEFICIENCY_ANEMIAS,ALCOHOL_ABUSE,DRUG_ABUSE,PSYCHOSES,DEPRESSION</t>
  </si>
  <si>
    <t>SUBJECT_ID,ICUSTAY_ID,IOITEMID,CHARTTIME,ELEMID,CGID,CUID,SITE,RATE,RATEUOM</t>
  </si>
  <si>
    <t>SUBJECT_ID,HADM_ID,MARITAL_STATUS_ITEMID,MARITAL_STATUS_DESCR,ETHNICITY_ITEMID,ETHNICITY_DESCR,OVERALL_PAYOR_GROUP_ITEMID,OVERALL_PAYOR_GROUP_DESCR,RELIGION_ITEMID,RELIGION_DESCR,ADMISSION_TYPE_ITEMID,ADMISSION_TYPE_DESCR,ADMISSION_SOURCE_ITEMID,ADMISSION_SOURCE_DESCR</t>
  </si>
  <si>
    <t>SUBJECT_ID,HADM_ID,ITEMID</t>
  </si>
  <si>
    <t>SUBJECT_ID,SEX,DOB,DOD,HOSPITAL_EXPIRE_FLG</t>
  </si>
  <si>
    <t>SUBJECT_ID,HADM_ID,ITEMID,COST_WEIGHT</t>
  </si>
  <si>
    <t>SUBJECT_ID,HADM_ID,SEQUENCE,CODE,DESCRIPTION</t>
  </si>
  <si>
    <t>ICUSTAY_ID,SUBJECT_ID,SEQ,BEGINTIME,ENDTIME,FIRST_DAY_FLG,LAST_DAY_FLG</t>
  </si>
  <si>
    <t>ICUSTAY_ID,SUBJECT_ID,GENDER,DOB,DOD,EXPIRE_FLG,SUBJECT_ICUSTAY_TOTAL_NUM,SUBJECT_ICUSTAY_SEQ,HADM_ID,HOSPITAL_TOTAL_NUM,HOSPITAL_SEQ,HOSPITAL_FIRST_FLG,HOSPITAL_LAST_FLG,HOSPITAL_ADMIT_DT,HOSPITAL_DISCH_DT,HOSPITAL_LOS,HOSPITAL_EXPIRE_FLG,ICUSTAY_TOTAL_NUM,ICUSTAY_SEQ,ICUSTAY_FIRST_FLG,ICUSTAY_LAST_FLG,ICUSTAY_INTIME,ICUSTAY_OUTTIME,ICUSTAY_ADMIT_AGE,ICUSTAY_AGE_GROUP,ICUSTAY_LOS,ICUSTAY_EXPIRE_FLG,ICUSTAY_FIRST_CAREUNIT,ICUSTAY_LAST_CAREUNIT,ICUSTAY_FIRST_SERVICE,ICUSTAY_LAST_SERVICE,HEIGHT,WEIGHT_FIRST,WEIGHT_MIN,WEIGHT_MAX,SAPSI_FIRST,SAPSI_MIN,SAPSI_MAX,SOFA_FIRST,SOFA_MIN,SOFA_MAX,MATCHED_WAVEFORMS_NUM</t>
  </si>
  <si>
    <t>ICUSTAY_ID,SUBJECT_ID,INTIME,OUTTIME,LOS,FIRST_CAREUNIT,LAST_CAREUNIT</t>
  </si>
  <si>
    <t>SUBJECT_ID,ICUSTAY_ID,ITEMID,CHARTTIME,ELEMID,ALTID,REALTIME,CGID,CUID,VOLUME,VOLUMEUOM,UNITSHUNG,UNITSHUNGUOM,NEWBOTTLE,STOPPED,ESTIMATE</t>
  </si>
  <si>
    <t>SUBJECT_ID,HADM_ID,ICUSTAY_ID,ITEMID,CHARTTIME,VALUE,VALUENUM,FLAG,VALUEUOM</t>
  </si>
  <si>
    <t>SUBJECT_ID,ICUSTAY_ID,ITEMID,CHARTTIME,ELEMID,REALTIME,CGID,CUID,VOLUME,DOSE,DOSEUOM,SOLUTIONID,SOLVOLUME,SOLUNITS,ROUTE,STOPPED</t>
  </si>
  <si>
    <t>SUBJECT_ID,HADM_ID,CHARTTIME,SPEC_ITEMID,ORG_ITEMID,ISOLATE_NUM,AB_ITEMID,DILUTION_AMOUNT,DILUTION_COMPARISON,INTERPRETATION</t>
  </si>
  <si>
    <t>SUBJECT_ID,HADM_ID,ICUSTAY_ID,ELEMID,CHARTTIME,REALTIME,CGID,CORRECTION,CUID,CATEGORY,TITLE,TEXT,EXAM_NAME,PATIENT_INFO</t>
  </si>
  <si>
    <t>POE_ID,DRUG_TYPE,DRUG_NAME,DRUG_NAME_GENERIC,PROD_STRENGTH,FORM_RX,DOSE_VAL_RX,DOSE_UNIT_RX,FORM_VAL_DISP,FORM_UNIT_DISP,DOSE_VAL_DISP,DOSE_UNIT_DISP,DOSE_RANGE_OVERRIDE</t>
  </si>
  <si>
    <t>POE_ID,SUBJECT_ID,HADM_ID,ICUSTAY_ID,START_DT,STOP_DT,ENTER_DT,MEDICATION,PROCEDURE_TYPE,STATUS,ROUTE,FREQUENCY,DISPENSE_SCHED,IV_FLUID,IV_RATE,INFUSION_TYPE,SLIDING_SCALE,DOSES_PER_24HRS,DURATION,DURATION_INTVL,EXPIRATION_VAL,EXPIRATION_UNIT,EXPIRATION_DT,LABEL_INSTR,ADDITIONAL_INSTR,MD_ADD_INSTR,RNURSE_ADD_INSTR</t>
  </si>
  <si>
    <t>SUBJECT_ID,HADM_ID,ITEMID,SEQUENCE_NUM,PROC_DT</t>
  </si>
  <si>
    <t>SUBJECT_ID,ICUSTAY_ID,ITEMID,CHARTTIME,ELEMID,REALTIME,CGID,CUID,PERVOLUME,CUMVOLUME,ACCUMPERIOD,APPROX,RESET,STOPPED</t>
  </si>
  <si>
    <t>ATTRIBUTE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</si>
</sst>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2"/>
      <color theme="1"/>
      <name val="Calibri"/>
      <family val="2"/>
      <scheme val="minor"/>
    </font>
    <font>
      <u/>
      <sz val="11"/>
      <color theme="10"/>
      <name val="Calibri"/>
      <family val="2"/>
      <scheme val="minor"/>
    </font>
    <font>
      <sz val="20"/>
      <color theme="1"/>
      <name val="Calibri"/>
      <family val="2"/>
      <scheme val="minor"/>
    </font>
    <font>
      <b/>
      <sz val="20"/>
      <color theme="1"/>
      <name val="Calibri"/>
      <family val="2"/>
      <scheme val="minor"/>
    </font>
    <font>
      <b/>
      <sz val="15"/>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2" fillId="0" borderId="0" xfId="0" applyFont="1" applyAlignment="1">
      <alignment vertical="center" wrapText="1"/>
    </xf>
    <xf numFmtId="0" fontId="1" fillId="0" borderId="1" xfId="0" applyFont="1" applyBorder="1"/>
    <xf numFmtId="0" fontId="3" fillId="0" borderId="1" xfId="1" applyBorder="1" applyAlignment="1">
      <alignment vertical="center" wrapText="1"/>
    </xf>
    <xf numFmtId="0" fontId="0" fillId="0" borderId="0" xfId="0" applyFont="1" applyBorder="1"/>
    <xf numFmtId="0" fontId="0" fillId="0" borderId="1" xfId="0" applyFont="1" applyBorder="1"/>
    <xf numFmtId="0" fontId="0" fillId="0" borderId="1" xfId="0" quotePrefix="1" applyFont="1" applyBorder="1"/>
    <xf numFmtId="0" fontId="0" fillId="0" borderId="1" xfId="0" applyFont="1" applyBorder="1" applyAlignment="1">
      <alignment vertical="center" wrapText="1"/>
    </xf>
    <xf numFmtId="0" fontId="0" fillId="0" borderId="1" xfId="0" applyFont="1" applyBorder="1" applyAlignment="1">
      <alignment horizontal="left" vertical="center" wrapText="1" indent="2"/>
    </xf>
    <xf numFmtId="0" fontId="1" fillId="0" borderId="1" xfId="0" applyFont="1" applyBorder="1" applyAlignment="1">
      <alignment vertical="center" wrapText="1"/>
    </xf>
    <xf numFmtId="0" fontId="1" fillId="0" borderId="1" xfId="0" applyFont="1" applyBorder="1" applyAlignment="1">
      <alignment horizontal="left" vertical="center" wrapText="1" indent="1"/>
    </xf>
    <xf numFmtId="0" fontId="0" fillId="0" borderId="0" xfId="0" applyFont="1"/>
    <xf numFmtId="0" fontId="0" fillId="0" borderId="1" xfId="0" applyFont="1" applyFill="1" applyBorder="1"/>
    <xf numFmtId="0" fontId="0" fillId="0" borderId="1" xfId="0" applyFont="1" applyBorder="1" applyAlignment="1">
      <alignment wrapText="1"/>
    </xf>
    <xf numFmtId="0" fontId="4" fillId="0" borderId="0" xfId="0" applyFont="1"/>
    <xf numFmtId="0" fontId="5" fillId="0" borderId="0" xfId="0" applyFont="1"/>
    <xf numFmtId="0" fontId="0" fillId="0" borderId="1" xfId="0" applyBorder="1" applyAlignment="1">
      <alignment wrapText="1"/>
    </xf>
    <xf numFmtId="0" fontId="0" fillId="0" borderId="0" xfId="0" applyAlignment="1">
      <alignment wrapText="1"/>
    </xf>
    <xf numFmtId="0" fontId="1" fillId="0" borderId="1" xfId="0" applyFont="1" applyBorder="1" applyAlignment="1">
      <alignment wrapText="1"/>
    </xf>
    <xf numFmtId="0" fontId="0" fillId="0" borderId="0" xfId="0" applyFont="1" applyAlignment="1">
      <alignment wrapText="1"/>
    </xf>
    <xf numFmtId="0" fontId="6" fillId="0" borderId="0" xfId="0" applyFont="1"/>
    <xf numFmtId="0" fontId="0" fillId="0" borderId="1" xfId="0" applyBorder="1" applyAlignment="1">
      <alignment vertical="top" wrapText="1"/>
    </xf>
    <xf numFmtId="0" fontId="0" fillId="0" borderId="1" xfId="0" applyFont="1" applyFill="1" applyBorder="1" applyAlignment="1">
      <alignment wrapText="1"/>
    </xf>
    <xf numFmtId="0" fontId="0" fillId="0" borderId="0" xfId="0" applyFont="1" applyFill="1" applyBorder="1"/>
    <xf numFmtId="0" fontId="0" fillId="0" borderId="0" xfId="0" applyBorder="1"/>
    <xf numFmtId="0" fontId="4" fillId="0" borderId="0" xfId="0" applyFont="1" applyAlignment="1">
      <alignment horizontal="left"/>
    </xf>
    <xf numFmtId="0" fontId="6" fillId="0" borderId="0" xfId="0" applyFont="1" applyAlignment="1">
      <alignment horizontal="left"/>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485776</xdr:colOff>
          <xdr:row>6</xdr:row>
          <xdr:rowOff>57149</xdr:rowOff>
        </xdr:from>
        <xdr:to>
          <xdr:col>9</xdr:col>
          <xdr:colOff>447676</xdr:colOff>
          <xdr:row>7</xdr:row>
          <xdr:rowOff>485774</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49E5-DB14-4022-BEB6-6791D85BFDEA}">
  <sheetPr codeName="Sheet1"/>
  <dimension ref="A2:K32"/>
  <sheetViews>
    <sheetView showGridLines="0" tabSelected="1" workbookViewId="0"/>
  </sheetViews>
  <sheetFormatPr defaultRowHeight="15" x14ac:dyDescent="0.25"/>
  <cols>
    <col min="1" max="1" width="17.5703125" bestFit="1" customWidth="1"/>
    <col min="3" max="4" width="39.42578125" customWidth="1"/>
    <col min="5" max="5" width="77.85546875" style="17" customWidth="1"/>
  </cols>
  <sheetData>
    <row r="2" spans="1:11" ht="26.25" x14ac:dyDescent="0.4">
      <c r="A2" s="15" t="s">
        <v>337</v>
      </c>
      <c r="B2" s="14" t="s">
        <v>338</v>
      </c>
    </row>
    <row r="5" spans="1:11" x14ac:dyDescent="0.25">
      <c r="E5"/>
    </row>
    <row r="6" spans="1:11" x14ac:dyDescent="0.25">
      <c r="C6" s="2" t="s">
        <v>26</v>
      </c>
      <c r="D6" s="2" t="s">
        <v>494</v>
      </c>
      <c r="E6" s="18" t="s">
        <v>27</v>
      </c>
    </row>
    <row r="7" spans="1:11" ht="45" x14ac:dyDescent="0.25">
      <c r="C7" s="3" t="s">
        <v>0</v>
      </c>
      <c r="D7" s="16" t="s">
        <v>470</v>
      </c>
      <c r="E7" s="16" t="str">
        <f>A_CHARTDURATIONS!B4</f>
        <v>Patient medical chart data is recorded in the chartevents, d chartitems, a chartdurations and formevents tables</v>
      </c>
    </row>
    <row r="8" spans="1:11" ht="45" x14ac:dyDescent="0.25">
      <c r="C8" s="3" t="s">
        <v>1</v>
      </c>
      <c r="D8" s="16" t="s">
        <v>471</v>
      </c>
      <c r="E8" s="16" t="str">
        <f>ADDITIVES!B4</f>
        <v>Patient input/output (IO) data is recorded in the ioevents, d ioitems, a iodurations, deliveries, totalbalevents and additives tables.</v>
      </c>
    </row>
    <row r="9" spans="1:11" ht="90" x14ac:dyDescent="0.25">
      <c r="C9" s="3" t="s">
        <v>2</v>
      </c>
      <c r="D9" s="16" t="s">
        <v>472</v>
      </c>
      <c r="E9" s="16" t="str">
        <f>ADMISSIONS!B4</f>
        <v>The ADMISSIONS table gives information regarding a patient’s admission to the hospital. Since each unique hospital visit for a patient is assigned a unique HADM_ID, the ADMISSIONS table can be considered as a definition table for HADM_ID. Information available includes timing information for admission and discharge, demographic information, the source of the admission, and so on</v>
      </c>
      <c r="G9" s="1"/>
      <c r="H9" s="24"/>
      <c r="I9" s="24"/>
      <c r="J9" s="24"/>
      <c r="K9" s="24"/>
    </row>
    <row r="10" spans="1:11" ht="45" x14ac:dyDescent="0.25">
      <c r="C10" s="3" t="s">
        <v>3</v>
      </c>
      <c r="D10" s="16" t="s">
        <v>470</v>
      </c>
      <c r="E10" s="16" t="str">
        <f>A_IODURATIONS!B4</f>
        <v>Patients Input / Output event and its time. Example : Type of IV infusions provided to a patient during their ICU stay and start and End time of the IV event</v>
      </c>
      <c r="G10" s="1"/>
      <c r="H10" s="24"/>
      <c r="I10" s="24"/>
      <c r="J10" s="24"/>
      <c r="K10" s="24"/>
    </row>
    <row r="11" spans="1:11" ht="60" x14ac:dyDescent="0.25">
      <c r="C11" s="3" t="s">
        <v>4</v>
      </c>
      <c r="D11" s="16" t="s">
        <v>470</v>
      </c>
      <c r="E11" s="16" t="str">
        <f>A_MEDDURATIONS!B4</f>
        <v>Medication(s) given to a patient are recorded in this table. Example: If a patient is with calcium deficiencies then thru IV infusion method  Medication "Calcium Gluconate" will get infused. Here medication refers to the drugs given to the patient</v>
      </c>
      <c r="G11" s="1"/>
      <c r="H11" s="24"/>
      <c r="I11" s="24"/>
      <c r="J11" s="24"/>
      <c r="K11" s="24"/>
    </row>
    <row r="12" spans="1:11" ht="90" x14ac:dyDescent="0.25">
      <c r="C12" s="3" t="s">
        <v>5</v>
      </c>
      <c r="D12" s="16" t="s">
        <v>473</v>
      </c>
      <c r="E12" s="16" t="str">
        <f>CENSUSEVENTS!B4</f>
        <v>Each time a patient enters or leaves a particular care unit, an event is recorded into the database in the table censusevents. Each of these events (identified by the column census id), contain the time and date of entrance and exit of the care unit, the current unit the patient was hosted, the destination care unit the patient was transferred to, and the length of stay in the ICU room for that particular event.</v>
      </c>
      <c r="G12" s="1"/>
    </row>
    <row r="13" spans="1:11" ht="180" x14ac:dyDescent="0.25">
      <c r="C13" s="3" t="s">
        <v>6</v>
      </c>
      <c r="D13" s="16" t="s">
        <v>474</v>
      </c>
      <c r="E13" s="16" t="str">
        <f>CHARTEVENTS!B4</f>
        <v>CHARTEVENTS contains all the charted data available for a patient. During their ICU stay, the primary repository of a patient’s information is their electronic chart. The electronic chart displays patients’ routine vital signs and any additional information relevant to their care: ventilator settings, laboratory values, code status, mental status, and so on. As a result, the bulk of information about a patient’s stay is contained in CHARTEVENTS. Furthermore, even though laboratory values are captured elsewhere (LABEVENTS), they are frequently repeated within CHARTEVENTS. This occurs because it is desirable to display the laboratory values on the patient’s electronic chart, and so the values are copied from the database storing laboratory values to the database storing the CHARTEVENTS.</v>
      </c>
      <c r="G13" s="1"/>
    </row>
    <row r="14" spans="1:11" ht="225" x14ac:dyDescent="0.25">
      <c r="C14" s="3" t="s">
        <v>7</v>
      </c>
      <c r="D14" s="16" t="s">
        <v>475</v>
      </c>
      <c r="E14" s="21" t="str">
        <f>COMORBIDITY_SCORES!B4</f>
        <v>Patient Comorbidity index for all the secondary disease along with primary</v>
      </c>
      <c r="G14" s="1"/>
    </row>
    <row r="15" spans="1:11" ht="75" x14ac:dyDescent="0.25">
      <c r="C15" s="3" t="s">
        <v>8</v>
      </c>
      <c r="D15" s="16" t="s">
        <v>476</v>
      </c>
      <c r="E15" s="16" t="str">
        <f>DELIVERIES!B4</f>
        <v>Its related to the I/O Events and the details in the table indicates that the rate at which the medication has infused to the patient. Example:  D5W (Dextrose) is a form of glucose can be infused to the patients depends on their health condition such as 10 ml/hr or 18.5 ml/hr, etc.,</v>
      </c>
    </row>
    <row r="16" spans="1:11" ht="120" x14ac:dyDescent="0.25">
      <c r="C16" s="3" t="s">
        <v>9</v>
      </c>
      <c r="D16" s="16" t="s">
        <v>477</v>
      </c>
      <c r="E16" s="16" t="str">
        <f>DEMOGRAPHIC_DETAIL!B4</f>
        <v>Patients demographic details. This details will be captured  at the time of admission to any Care units</v>
      </c>
    </row>
    <row r="17" spans="3:5" ht="45" x14ac:dyDescent="0.25">
      <c r="C17" s="3" t="s">
        <v>10</v>
      </c>
      <c r="D17" s="16" t="s">
        <v>478</v>
      </c>
      <c r="E17" s="16" t="str">
        <f>DEMOGRAPHICEVENTS!B4</f>
        <v>Additional demographic details about the patient such as "Admisison source - HMO referal, Religion - Patient denied to provide, Payor group name - Auto liability, etc.,"</v>
      </c>
    </row>
    <row r="18" spans="3:5" ht="30" x14ac:dyDescent="0.25">
      <c r="C18" s="3" t="s">
        <v>11</v>
      </c>
      <c r="D18" s="16" t="s">
        <v>479</v>
      </c>
      <c r="E18" s="16" t="str">
        <f>D_PATIENTS!B4</f>
        <v>Defines each SUBJECT_ID in the database, i.e. defines a single patient.</v>
      </c>
    </row>
    <row r="19" spans="3:5" ht="45" x14ac:dyDescent="0.25">
      <c r="C19" s="3" t="s">
        <v>12</v>
      </c>
      <c r="D19" s="16" t="s">
        <v>480</v>
      </c>
      <c r="E19" s="16" t="str">
        <f>DRGEVENTS!B4</f>
        <v>Drug Related Group is a patient classification system that standardizes prospective payment to hospitals and encourages cost containment initiatives.</v>
      </c>
    </row>
    <row r="20" spans="3:5" ht="30" x14ac:dyDescent="0.25">
      <c r="C20" s="3" t="s">
        <v>13</v>
      </c>
      <c r="D20" s="16" t="s">
        <v>481</v>
      </c>
      <c r="E20" s="16" t="str">
        <f>'ICD9'!B4</f>
        <v>Patients diagnosis event details. Example : Diagnosis test related "Iron Deficiency Anemia", etc.,</v>
      </c>
    </row>
    <row r="21" spans="3:5" ht="45" x14ac:dyDescent="0.25">
      <c r="C21" s="3" t="s">
        <v>14</v>
      </c>
      <c r="D21" s="16" t="s">
        <v>482</v>
      </c>
      <c r="E21" s="16" t="str">
        <f>ICUSTAY_DAYS!B4</f>
        <v>Patients Care unit stay details. Mostly this table helps to calculate total number of care unit stay for a given patient with help of "First" and "Last" day flag(Y/N)</v>
      </c>
    </row>
    <row r="22" spans="3:5" ht="270" x14ac:dyDescent="0.25">
      <c r="C22" s="3" t="s">
        <v>15</v>
      </c>
      <c r="D22" s="16" t="s">
        <v>483</v>
      </c>
      <c r="E22" s="16" t="str">
        <f>ICUSTAY_DETAIL!B4</f>
        <v>Patients care Unit event details. This table will contains hospital admission, discharged, Care unit Admission, discharged, patients age, date of death, etc.,</v>
      </c>
    </row>
    <row r="23" spans="3:5" ht="60" x14ac:dyDescent="0.25">
      <c r="C23" s="3" t="s">
        <v>16</v>
      </c>
      <c r="D23" s="16" t="s">
        <v>484</v>
      </c>
      <c r="E23" s="16" t="str">
        <f>ICUSTAYEVENTS!B4</f>
        <v>Patients Care unit stay details are captured in a single line. This table will provide an overview of the patients care unit stay such as "Admission date, discharged date, length of stay, Care unit at the time of admission and discharged, etc.,"</v>
      </c>
    </row>
    <row r="24" spans="3:5" ht="60" x14ac:dyDescent="0.25">
      <c r="C24" s="3" t="s">
        <v>17</v>
      </c>
      <c r="D24" s="16" t="s">
        <v>485</v>
      </c>
      <c r="E24" s="16" t="str">
        <f>IOEVENTS!B4</f>
        <v>Patients Input / Output event during their Care unit stay. Example : Type of IV infusions provided to a patient during their ICU stay and start and End time of the IV event</v>
      </c>
    </row>
    <row r="25" spans="3:5" ht="105" x14ac:dyDescent="0.25">
      <c r="C25" s="3" t="s">
        <v>18</v>
      </c>
      <c r="D25" s="16" t="s">
        <v>486</v>
      </c>
      <c r="E25" s="21" t="str">
        <f>LABEVENTS!B4</f>
        <v>The LABEVENTS data contains information regarding laboratory based measurements. The process for acquiring a lab measurement is as follows: first, a member of the clinical staff acquires a fluid from a site in the patient’s body (e.g. blood from an arterial line, urine from a catheter, etc). Next, the fluid is bar coded to associate it with the patient and timestamped to record the time of the fluid acquisition. The lab analyses the data and returns a result within 4-12 hours.</v>
      </c>
    </row>
    <row r="26" spans="3:5" ht="60" x14ac:dyDescent="0.25">
      <c r="C26" s="3" t="s">
        <v>19</v>
      </c>
      <c r="D26" s="16" t="s">
        <v>487</v>
      </c>
      <c r="E26" s="16" t="str">
        <f>MEDEVENTS!B4</f>
        <v xml:space="preserve">Medication(s) given to a patient are recorded in this table. </v>
      </c>
    </row>
    <row r="27" spans="3:5" ht="60" x14ac:dyDescent="0.25">
      <c r="C27" s="3" t="s">
        <v>20</v>
      </c>
      <c r="D27" s="16" t="s">
        <v>488</v>
      </c>
      <c r="E27" s="16" t="str">
        <f>MICROBIOLOGYEVENTS!B4</f>
        <v>This table Contains microbiology information, including tests performed and sensitivities</v>
      </c>
    </row>
    <row r="28" spans="3:5" ht="75" x14ac:dyDescent="0.25">
      <c r="C28" s="3" t="s">
        <v>21</v>
      </c>
      <c r="D28" s="16" t="s">
        <v>489</v>
      </c>
      <c r="E28" s="16" t="str">
        <f>NOTEEVENTS!B4</f>
        <v>Clinical Notes for the patients. Usually during the stay in the Care unit, skilled Nurse / Physician will leave a note about the patients health condition. Sometime, critical health information about patients such as Mortaility event, Comorbidity condition, infections,etc. will be captured in the notes</v>
      </c>
    </row>
    <row r="29" spans="3:5" ht="75" x14ac:dyDescent="0.25">
      <c r="C29" s="3" t="s">
        <v>22</v>
      </c>
      <c r="D29" s="16" t="s">
        <v>490</v>
      </c>
      <c r="E29" s="16" t="str">
        <f>POE_MED!B4</f>
        <v>Pharmacy provider order entry (Pharmacy claims) - The medication and the dosage details are captured from the pharmacy</v>
      </c>
    </row>
    <row r="30" spans="3:5" ht="135" x14ac:dyDescent="0.25">
      <c r="C30" s="3" t="s">
        <v>23</v>
      </c>
      <c r="D30" s="16" t="s">
        <v>491</v>
      </c>
      <c r="E30" s="16" t="str">
        <f>POE_ORDER!B4</f>
        <v>Pharmacy provider order entry (Pharmacy claims) - The medication and the dosage details are captured from the pharmacy - Detailed version of the data captured based on the usage.All the fields are related to POE_MED table</v>
      </c>
    </row>
    <row r="31" spans="3:5" ht="45" x14ac:dyDescent="0.25">
      <c r="C31" s="3" t="s">
        <v>24</v>
      </c>
      <c r="D31" s="16" t="s">
        <v>492</v>
      </c>
      <c r="E31" s="16" t="str">
        <f>PROCEDUREEVENTS!B4</f>
        <v>Medical Procedure performed to the patients durign their stay. Procedure (Knee Arthroscopy, Oint Biopsy, etc.,) can be performed either prior or after the diagnosis result</v>
      </c>
    </row>
    <row r="32" spans="3:5" ht="60" x14ac:dyDescent="0.25">
      <c r="C32" s="3" t="s">
        <v>25</v>
      </c>
      <c r="D32" s="16" t="s">
        <v>493</v>
      </c>
      <c r="E32" s="16" t="str">
        <f>TOTALBALEVENTS!B4</f>
        <v>Total Fluid balance event</v>
      </c>
    </row>
  </sheetData>
  <hyperlinks>
    <hyperlink ref="C7" location="A_CHARTDURATIONS!A1" display="A_CHARTDURATIONS" xr:uid="{0FF0C508-129A-4FB5-9CC3-C15E2E170E2D}"/>
    <hyperlink ref="C8" location="ADDITIVES!A1" display="ADDITIVES" xr:uid="{89BC2410-D7BF-4AA1-8E19-BC9FC7CD31CF}"/>
    <hyperlink ref="C9" location="ADMISSIONS!A1" display="ADMISSIONS" xr:uid="{28613835-63A2-4436-A67B-D60AB09A5EE4}"/>
    <hyperlink ref="C10" location="A_IODURATIONS!A1" display="A_IODURATIONS" xr:uid="{B634BDA6-FFA9-4EB9-89B9-30482188598E}"/>
    <hyperlink ref="C11" location="A_MEDDURATIONS!A1" display="A_MEDDURATIONS" xr:uid="{3A45726C-C232-4080-8980-36D3F2D928E5}"/>
    <hyperlink ref="C12" location="CENSUSEVENTS!A1" display="CENSUSEVENTS" xr:uid="{0B273F87-82CE-4F66-9ACA-374286C0213A}"/>
    <hyperlink ref="C13" location="CHARTEVENTS!A1" display="CHARTEVENTS" xr:uid="{41C99A18-D709-4E73-B720-5C93C11E62F0}"/>
    <hyperlink ref="C14" location="COMORBIDITY_SCORES!A1" display="COMORBIDITY_SCORES" xr:uid="{1142DB19-5528-42B1-80D7-817B46570FC4}"/>
    <hyperlink ref="C15" location="DELIVERIES!A1" display="DELIVERIES" xr:uid="{E4EED061-B3F9-43C2-ACDE-B8C78C332EF9}"/>
    <hyperlink ref="C16" location="DEMOGRAPHIC_DETAIL!A1" display="DEMOGRAPHIC_DETAIL" xr:uid="{D5D98028-4287-4F44-81F9-499B67C1C1BF}"/>
    <hyperlink ref="C17" location="DEMOGRAPHICEVENTS!A1" display="DEMOGRAPHICEVENTS" xr:uid="{0AA943F1-7594-473C-AAA9-43E2F085F8C1}"/>
    <hyperlink ref="C18" location="D_PATIENTS!A1" display="D_PATIENTS" xr:uid="{93C00AAF-1E4F-4E20-9294-C2A0133165A4}"/>
    <hyperlink ref="C19" location="DRGEVENTS!A1" display="DRGEVENTS" xr:uid="{C9D5D62B-15A2-4D0A-8FD3-1E38B8AAA18F}"/>
    <hyperlink ref="C20" location="'ICD9'!A1" display="ICD9" xr:uid="{AE3DCF29-B882-41EA-955A-6544AB95D6FA}"/>
    <hyperlink ref="C21" location="ICUSTAY_DAYS!A1" display="ICUSTAY_DAYS" xr:uid="{C6B9C6E9-4B04-49E9-ADCC-CD9D45B929FC}"/>
    <hyperlink ref="C22" location="ICUSTAY_DETAIL!A1" display="ICUSTAY_DETAIL" xr:uid="{6F83ADA0-A958-4CFF-A4D3-BF94D37BCD85}"/>
    <hyperlink ref="C23" location="ICUSTAYEVENTS!A1" display="ICUSTAYEVENTS" xr:uid="{B627BE21-728E-407F-AF57-27F1D35CDD46}"/>
    <hyperlink ref="C24" location="IOEVENTS!A1" display="IOEVENTS" xr:uid="{9CBC9F26-691C-438D-9585-DFB63D69F60A}"/>
    <hyperlink ref="C25" location="LABEVENTS!A1" display="LABEVENTS" xr:uid="{B9290362-49E4-4048-B7B8-7DED18934B7E}"/>
    <hyperlink ref="C26" location="MEDEVENTS!A1" display="MEDEVENTS" xr:uid="{C5F35413-CC3D-42FB-AB0B-82D64358CB69}"/>
    <hyperlink ref="C27" location="MICROBIOLOGYEVENTS!A1" display="MICROBIOLOGYEVENTS" xr:uid="{1D67C7EB-33E4-4EBF-B7FD-D1C4328CB61F}"/>
    <hyperlink ref="C28" location="NOTEEVENTS!A1" display="NOTEEVENTS" xr:uid="{DF99C52E-E501-490D-9288-C8534C405FC5}"/>
    <hyperlink ref="C29" location="POE_MED!A1" display="POE_MED" xr:uid="{878FEBD1-C73B-4E01-B0E4-621B3CC9B854}"/>
    <hyperlink ref="C30" location="POE_ORDER!A1" display="POE_ORDER" xr:uid="{62476884-A6DD-4247-BF15-181578B320F6}"/>
    <hyperlink ref="C31" location="PROCEDUREEVENTS!A1" display="PROCEDUREEVENTS" xr:uid="{023BDEED-E827-4103-B797-8F4079D2BDEF}"/>
    <hyperlink ref="C32" location="TOTALBALEVENTS!A1" display="TOTALBALEVENTS" xr:uid="{0954999D-B24C-46CB-B301-CFB2AE271DC6}"/>
  </hyperlink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25" r:id="rId4">
          <objectPr defaultSize="0" autoPict="0" r:id="rId5">
            <anchor moveWithCells="1">
              <from>
                <xdr:col>7</xdr:col>
                <xdr:colOff>485775</xdr:colOff>
                <xdr:row>6</xdr:row>
                <xdr:rowOff>57150</xdr:rowOff>
              </from>
              <to>
                <xdr:col>9</xdr:col>
                <xdr:colOff>447675</xdr:colOff>
                <xdr:row>7</xdr:row>
                <xdr:rowOff>485775</xdr:rowOff>
              </to>
            </anchor>
          </objectPr>
        </oleObject>
      </mc:Choice>
      <mc:Fallback>
        <oleObject progId="Packager Shell Object" dvAspect="DVASPECT_ICON"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CAD0-8951-4A08-84B1-E2ECB6439580}">
  <sheetPr codeName="Sheet3"/>
  <dimension ref="A2:G44"/>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0</v>
      </c>
    </row>
    <row r="3" spans="1:7" ht="19.5" x14ac:dyDescent="0.3">
      <c r="A3" s="26" t="s">
        <v>351</v>
      </c>
      <c r="B3" s="26"/>
    </row>
    <row r="4" spans="1:7" ht="19.5" x14ac:dyDescent="0.3">
      <c r="A4" s="20"/>
      <c r="B4" s="27" t="s">
        <v>468</v>
      </c>
      <c r="C4" s="27"/>
      <c r="D4" s="27"/>
      <c r="E4" s="27"/>
      <c r="F4" s="27"/>
      <c r="G4" s="27"/>
    </row>
    <row r="5" spans="1:7" ht="19.5" x14ac:dyDescent="0.3">
      <c r="A5" s="20"/>
      <c r="B5" s="27"/>
      <c r="C5" s="27"/>
      <c r="D5" s="27"/>
      <c r="E5" s="27"/>
      <c r="F5" s="27"/>
      <c r="G5" s="27"/>
    </row>
    <row r="6" spans="1:7" ht="19.5" x14ac:dyDescent="0.3">
      <c r="A6" s="20"/>
      <c r="B6" s="27"/>
      <c r="C6" s="27"/>
      <c r="D6" s="27"/>
      <c r="E6" s="27"/>
      <c r="F6" s="27"/>
      <c r="G6" s="27"/>
    </row>
    <row r="7" spans="1:7" ht="19.5" x14ac:dyDescent="0.3">
      <c r="A7" s="20"/>
      <c r="B7" s="27"/>
      <c r="C7" s="27"/>
      <c r="D7" s="27"/>
      <c r="E7" s="27"/>
      <c r="F7" s="27"/>
      <c r="G7" s="27"/>
    </row>
    <row r="8" spans="1:7" ht="19.5" x14ac:dyDescent="0.3">
      <c r="A8" s="20"/>
    </row>
    <row r="9" spans="1:7" ht="19.5" x14ac:dyDescent="0.3">
      <c r="A9" s="20"/>
    </row>
    <row r="10" spans="1:7" x14ac:dyDescent="0.25">
      <c r="C10" s="9" t="s">
        <v>28</v>
      </c>
      <c r="D10" s="10" t="s">
        <v>29</v>
      </c>
      <c r="E10" s="9" t="s">
        <v>30</v>
      </c>
      <c r="F10" s="9" t="s">
        <v>41</v>
      </c>
      <c r="G10" s="9" t="s">
        <v>31</v>
      </c>
    </row>
    <row r="11" spans="1:7" x14ac:dyDescent="0.25">
      <c r="C11" s="5" t="s">
        <v>35</v>
      </c>
      <c r="D11" s="5" t="s">
        <v>33</v>
      </c>
      <c r="E11" s="5" t="s">
        <v>34</v>
      </c>
      <c r="F11" s="5"/>
      <c r="G11" s="5" t="s">
        <v>55</v>
      </c>
    </row>
    <row r="12" spans="1:7" x14ac:dyDescent="0.25">
      <c r="C12" s="5" t="s">
        <v>47</v>
      </c>
      <c r="D12" s="5" t="s">
        <v>33</v>
      </c>
      <c r="E12" s="5" t="s">
        <v>34</v>
      </c>
      <c r="F12" s="5"/>
      <c r="G12" s="5" t="s">
        <v>56</v>
      </c>
    </row>
    <row r="13" spans="1:7" x14ac:dyDescent="0.25">
      <c r="C13" s="5" t="s">
        <v>48</v>
      </c>
      <c r="D13" s="5" t="s">
        <v>33</v>
      </c>
      <c r="E13" s="12" t="s">
        <v>34</v>
      </c>
      <c r="F13" s="5"/>
      <c r="G13" s="5"/>
    </row>
    <row r="14" spans="1:7" x14ac:dyDescent="0.25">
      <c r="C14" s="5" t="s">
        <v>49</v>
      </c>
      <c r="D14" s="5" t="s">
        <v>37</v>
      </c>
      <c r="E14" s="12" t="s">
        <v>34</v>
      </c>
      <c r="F14" s="5"/>
      <c r="G14" s="12" t="s">
        <v>57</v>
      </c>
    </row>
    <row r="15" spans="1:7" x14ac:dyDescent="0.25">
      <c r="C15" s="5" t="s">
        <v>50</v>
      </c>
      <c r="D15" s="5" t="s">
        <v>37</v>
      </c>
      <c r="E15" s="12" t="s">
        <v>51</v>
      </c>
      <c r="F15" s="5"/>
      <c r="G15" s="5"/>
    </row>
    <row r="16" spans="1:7" x14ac:dyDescent="0.25">
      <c r="C16" s="5" t="s">
        <v>52</v>
      </c>
      <c r="D16" s="5" t="s">
        <v>37</v>
      </c>
      <c r="E16" s="12" t="s">
        <v>51</v>
      </c>
      <c r="F16" s="5"/>
      <c r="G16" s="12" t="s">
        <v>58</v>
      </c>
    </row>
    <row r="17" spans="3:7" x14ac:dyDescent="0.25">
      <c r="C17" s="5" t="s">
        <v>53</v>
      </c>
      <c r="D17" s="5" t="s">
        <v>33</v>
      </c>
      <c r="E17" s="12" t="s">
        <v>51</v>
      </c>
      <c r="F17" s="5"/>
      <c r="G17" s="12" t="s">
        <v>59</v>
      </c>
    </row>
    <row r="18" spans="3:7" x14ac:dyDescent="0.25">
      <c r="C18" s="5" t="s">
        <v>54</v>
      </c>
      <c r="D18" s="5" t="s">
        <v>33</v>
      </c>
      <c r="E18" s="12" t="s">
        <v>51</v>
      </c>
      <c r="F18" s="5"/>
      <c r="G18" s="12" t="s">
        <v>60</v>
      </c>
    </row>
    <row r="28" spans="3:7" x14ac:dyDescent="0.25">
      <c r="D28"/>
    </row>
    <row r="29" spans="3:7" x14ac:dyDescent="0.25">
      <c r="D29"/>
    </row>
    <row r="30" spans="3:7" x14ac:dyDescent="0.25">
      <c r="D30"/>
    </row>
    <row r="31" spans="3:7" x14ac:dyDescent="0.25">
      <c r="D31"/>
    </row>
    <row r="32" spans="3:7" x14ac:dyDescent="0.25">
      <c r="D32"/>
    </row>
    <row r="33" spans="4:4" x14ac:dyDescent="0.25">
      <c r="D33"/>
    </row>
    <row r="34" spans="4:4" x14ac:dyDescent="0.25">
      <c r="D34"/>
    </row>
    <row r="35" spans="4:4" x14ac:dyDescent="0.25">
      <c r="D35"/>
    </row>
    <row r="36" spans="4:4" x14ac:dyDescent="0.25">
      <c r="D36"/>
    </row>
    <row r="37" spans="4:4" x14ac:dyDescent="0.25">
      <c r="D37"/>
    </row>
    <row r="38" spans="4:4" x14ac:dyDescent="0.25">
      <c r="D38"/>
    </row>
    <row r="39" spans="4:4" x14ac:dyDescent="0.25">
      <c r="D39"/>
    </row>
    <row r="40" spans="4:4" x14ac:dyDescent="0.25">
      <c r="D40"/>
    </row>
    <row r="41" spans="4:4" x14ac:dyDescent="0.25">
      <c r="D41"/>
    </row>
    <row r="42" spans="4:4" x14ac:dyDescent="0.25">
      <c r="D42"/>
    </row>
    <row r="43" spans="4:4" x14ac:dyDescent="0.25">
      <c r="D43"/>
    </row>
    <row r="44" spans="4:4" x14ac:dyDescent="0.25">
      <c r="D44"/>
    </row>
  </sheetData>
  <mergeCells count="3">
    <mergeCell ref="A2:C2"/>
    <mergeCell ref="A3:B3"/>
    <mergeCell ref="B4: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C3D5-2888-4CCC-88C6-8DE68031352E}">
  <sheetPr codeName="Sheet4"/>
  <dimension ref="A2:G21"/>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v>
      </c>
    </row>
    <row r="3" spans="1:7" ht="19.5" x14ac:dyDescent="0.3">
      <c r="A3" s="26" t="s">
        <v>351</v>
      </c>
      <c r="B3" s="26"/>
    </row>
    <row r="4" spans="1:7" x14ac:dyDescent="0.25">
      <c r="B4" s="27" t="s">
        <v>469</v>
      </c>
      <c r="C4" s="27"/>
      <c r="D4" s="27"/>
      <c r="E4" s="27"/>
      <c r="F4" s="27"/>
      <c r="G4" s="27"/>
    </row>
    <row r="5" spans="1:7" x14ac:dyDescent="0.25">
      <c r="B5" s="27"/>
      <c r="C5" s="27"/>
      <c r="D5" s="27"/>
      <c r="E5" s="27"/>
      <c r="F5" s="27"/>
      <c r="G5" s="27"/>
    </row>
    <row r="6" spans="1:7" x14ac:dyDescent="0.25">
      <c r="B6" s="27"/>
      <c r="C6" s="27"/>
      <c r="D6" s="27"/>
      <c r="E6" s="27"/>
      <c r="F6" s="27"/>
      <c r="G6" s="27"/>
    </row>
    <row r="7" spans="1:7" x14ac:dyDescent="0.25">
      <c r="B7" s="27"/>
      <c r="C7" s="27"/>
      <c r="D7" s="27"/>
      <c r="E7" s="27"/>
      <c r="F7" s="27"/>
      <c r="G7" s="27"/>
    </row>
    <row r="10" spans="1:7" x14ac:dyDescent="0.25">
      <c r="C10" s="9" t="s">
        <v>28</v>
      </c>
      <c r="D10" s="10" t="s">
        <v>29</v>
      </c>
      <c r="E10" s="9" t="s">
        <v>30</v>
      </c>
      <c r="F10" s="9" t="s">
        <v>41</v>
      </c>
      <c r="G10" s="9" t="s">
        <v>31</v>
      </c>
    </row>
    <row r="11" spans="1:7" x14ac:dyDescent="0.25">
      <c r="C11" s="5" t="s">
        <v>35</v>
      </c>
      <c r="D11" s="5" t="s">
        <v>33</v>
      </c>
      <c r="E11" s="5" t="s">
        <v>34</v>
      </c>
      <c r="F11" s="5"/>
      <c r="G11" s="5"/>
    </row>
    <row r="12" spans="1:7" x14ac:dyDescent="0.25">
      <c r="C12" s="5" t="s">
        <v>47</v>
      </c>
      <c r="D12" s="5" t="s">
        <v>33</v>
      </c>
      <c r="E12" s="5" t="s">
        <v>34</v>
      </c>
      <c r="F12" s="5"/>
      <c r="G12" s="5"/>
    </row>
    <row r="13" spans="1:7" x14ac:dyDescent="0.25">
      <c r="C13" s="5" t="s">
        <v>87</v>
      </c>
      <c r="D13" s="5" t="s">
        <v>33</v>
      </c>
      <c r="E13" s="5" t="s">
        <v>34</v>
      </c>
      <c r="F13" s="5"/>
      <c r="G13" s="5"/>
    </row>
    <row r="14" spans="1:7" x14ac:dyDescent="0.25">
      <c r="C14" s="5" t="s">
        <v>88</v>
      </c>
      <c r="D14" s="5" t="s">
        <v>37</v>
      </c>
      <c r="E14" s="5" t="s">
        <v>34</v>
      </c>
      <c r="F14" s="5"/>
      <c r="G14" s="5"/>
    </row>
    <row r="15" spans="1:7" x14ac:dyDescent="0.25">
      <c r="C15" s="5" t="s">
        <v>48</v>
      </c>
      <c r="D15" s="5" t="s">
        <v>33</v>
      </c>
      <c r="E15" s="5" t="s">
        <v>34</v>
      </c>
      <c r="F15" s="5"/>
      <c r="G15" s="5"/>
    </row>
    <row r="16" spans="1:7" x14ac:dyDescent="0.25">
      <c r="C16" s="5" t="s">
        <v>89</v>
      </c>
      <c r="D16" s="5" t="s">
        <v>33</v>
      </c>
      <c r="E16" s="5" t="s">
        <v>51</v>
      </c>
      <c r="F16" s="5"/>
      <c r="G16" s="5"/>
    </row>
    <row r="17" spans="3:7" x14ac:dyDescent="0.25">
      <c r="C17" s="5" t="s">
        <v>53</v>
      </c>
      <c r="D17" s="5" t="s">
        <v>33</v>
      </c>
      <c r="E17" s="5" t="s">
        <v>51</v>
      </c>
      <c r="F17" s="5"/>
      <c r="G17" s="5"/>
    </row>
    <row r="18" spans="3:7" x14ac:dyDescent="0.25">
      <c r="C18" s="5" t="s">
        <v>90</v>
      </c>
      <c r="D18" s="5" t="s">
        <v>33</v>
      </c>
      <c r="E18" s="5" t="s">
        <v>51</v>
      </c>
      <c r="F18" s="5"/>
      <c r="G18" s="5"/>
    </row>
    <row r="19" spans="3:7" x14ac:dyDescent="0.25">
      <c r="C19" s="5" t="s">
        <v>91</v>
      </c>
      <c r="D19" s="5" t="s">
        <v>78</v>
      </c>
      <c r="E19" s="5" t="s">
        <v>51</v>
      </c>
      <c r="F19" s="5"/>
      <c r="G19" s="5"/>
    </row>
    <row r="20" spans="3:7" x14ac:dyDescent="0.25">
      <c r="C20" s="5" t="s">
        <v>92</v>
      </c>
      <c r="D20" s="5" t="s">
        <v>33</v>
      </c>
      <c r="E20" s="5" t="s">
        <v>51</v>
      </c>
      <c r="F20" s="5"/>
      <c r="G20" s="5"/>
    </row>
    <row r="21" spans="3:7" x14ac:dyDescent="0.25">
      <c r="C21" s="5" t="s">
        <v>93</v>
      </c>
      <c r="D21" s="5" t="s">
        <v>78</v>
      </c>
      <c r="E21" s="5" t="s">
        <v>51</v>
      </c>
      <c r="F21" s="5"/>
      <c r="G21" s="5"/>
    </row>
  </sheetData>
  <mergeCells count="3">
    <mergeCell ref="A2:C2"/>
    <mergeCell ref="A3:B3"/>
    <mergeCell ref="B4: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A5D4-CD97-47CC-819D-2B43CFC95580}">
  <sheetPr codeName="Sheet5"/>
  <dimension ref="A2:G15"/>
  <sheetViews>
    <sheetView showGridLines="0" workbookViewId="0"/>
  </sheetViews>
  <sheetFormatPr defaultRowHeight="15" x14ac:dyDescent="0.25"/>
  <cols>
    <col min="1" max="2" width="9.140625" style="4"/>
    <col min="3" max="3" width="20.28515625" style="4" customWidth="1"/>
    <col min="4" max="4" width="20.5703125" style="4" customWidth="1"/>
    <col min="5" max="5" width="23.42578125" style="4" customWidth="1"/>
    <col min="6" max="6" width="24.7109375" style="4" customWidth="1"/>
    <col min="7" max="7" width="51.5703125" style="4" customWidth="1"/>
    <col min="8" max="16384" width="9.140625" style="4"/>
  </cols>
  <sheetData>
    <row r="2" spans="1:7" ht="26.25" x14ac:dyDescent="0.4">
      <c r="A2" s="25" t="s">
        <v>352</v>
      </c>
      <c r="B2" s="25"/>
      <c r="C2" s="25"/>
      <c r="D2" s="14" t="s">
        <v>2</v>
      </c>
    </row>
    <row r="3" spans="1:7" ht="19.5" x14ac:dyDescent="0.3">
      <c r="A3" s="26" t="s">
        <v>351</v>
      </c>
      <c r="B3" s="26"/>
      <c r="C3" s="11"/>
      <c r="D3" s="11"/>
    </row>
    <row r="4" spans="1:7" x14ac:dyDescent="0.25">
      <c r="B4" s="28" t="s">
        <v>339</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ht="30" x14ac:dyDescent="0.25">
      <c r="C11" s="7" t="s">
        <v>32</v>
      </c>
      <c r="D11" s="5" t="s">
        <v>33</v>
      </c>
      <c r="E11" s="7" t="s">
        <v>34</v>
      </c>
      <c r="F11" s="8"/>
      <c r="G11" s="7" t="s">
        <v>43</v>
      </c>
    </row>
    <row r="12" spans="1:7" x14ac:dyDescent="0.25">
      <c r="C12" s="5" t="s">
        <v>35</v>
      </c>
      <c r="D12" s="5" t="s">
        <v>33</v>
      </c>
      <c r="E12" s="7" t="s">
        <v>34</v>
      </c>
      <c r="F12" s="5"/>
      <c r="G12" s="5" t="s">
        <v>44</v>
      </c>
    </row>
    <row r="13" spans="1:7" x14ac:dyDescent="0.25">
      <c r="C13" s="5" t="s">
        <v>36</v>
      </c>
      <c r="D13" s="5" t="s">
        <v>37</v>
      </c>
      <c r="E13" s="7" t="s">
        <v>34</v>
      </c>
      <c r="F13" s="5"/>
      <c r="G13" s="5" t="s">
        <v>45</v>
      </c>
    </row>
    <row r="14" spans="1:7" x14ac:dyDescent="0.25">
      <c r="C14" s="5" t="s">
        <v>38</v>
      </c>
      <c r="D14" s="5" t="s">
        <v>37</v>
      </c>
      <c r="E14" s="7" t="s">
        <v>34</v>
      </c>
      <c r="F14" s="5"/>
      <c r="G14" s="5" t="s">
        <v>46</v>
      </c>
    </row>
    <row r="15" spans="1:7" x14ac:dyDescent="0.25">
      <c r="C15" s="5" t="s">
        <v>39</v>
      </c>
      <c r="D15" s="5" t="s">
        <v>40</v>
      </c>
      <c r="E15" s="7" t="s">
        <v>34</v>
      </c>
      <c r="F15" s="6" t="s">
        <v>42</v>
      </c>
      <c r="G15" s="5"/>
    </row>
  </sheetData>
  <mergeCells count="3">
    <mergeCell ref="A2:C2"/>
    <mergeCell ref="A3:B3"/>
    <mergeCell ref="B4:G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DC5D-4F23-4088-80A7-8F9BB1B2998E}">
  <sheetPr codeName="Sheet6"/>
  <dimension ref="A2:G18"/>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3</v>
      </c>
    </row>
    <row r="3" spans="1:7" ht="19.5" x14ac:dyDescent="0.3">
      <c r="A3" s="26" t="s">
        <v>351</v>
      </c>
      <c r="B3" s="26"/>
    </row>
    <row r="4" spans="1:7" x14ac:dyDescent="0.25">
      <c r="B4" s="28" t="s">
        <v>354</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13" t="s">
        <v>61</v>
      </c>
    </row>
    <row r="12" spans="1:7" x14ac:dyDescent="0.25">
      <c r="C12" s="5" t="s">
        <v>47</v>
      </c>
      <c r="D12" s="5" t="s">
        <v>33</v>
      </c>
      <c r="E12" s="5" t="s">
        <v>34</v>
      </c>
      <c r="F12" s="5"/>
      <c r="G12" s="13" t="s">
        <v>62</v>
      </c>
    </row>
    <row r="13" spans="1:7" x14ac:dyDescent="0.25">
      <c r="C13" s="5" t="s">
        <v>48</v>
      </c>
      <c r="D13" s="5" t="s">
        <v>33</v>
      </c>
      <c r="E13" s="5" t="s">
        <v>34</v>
      </c>
      <c r="F13" s="5"/>
      <c r="G13" s="13"/>
    </row>
    <row r="14" spans="1:7" x14ac:dyDescent="0.25">
      <c r="C14" s="5" t="s">
        <v>49</v>
      </c>
      <c r="D14" s="5" t="s">
        <v>37</v>
      </c>
      <c r="E14" s="5" t="s">
        <v>34</v>
      </c>
      <c r="F14" s="5"/>
      <c r="G14" s="22" t="s">
        <v>63</v>
      </c>
    </row>
    <row r="15" spans="1:7" x14ac:dyDescent="0.25">
      <c r="C15" s="5" t="s">
        <v>50</v>
      </c>
      <c r="D15" s="5" t="s">
        <v>37</v>
      </c>
      <c r="E15" s="12" t="s">
        <v>51</v>
      </c>
      <c r="F15" s="5"/>
      <c r="G15" s="13"/>
    </row>
    <row r="16" spans="1:7" x14ac:dyDescent="0.25">
      <c r="C16" s="5" t="s">
        <v>52</v>
      </c>
      <c r="D16" s="5" t="s">
        <v>37</v>
      </c>
      <c r="E16" s="12" t="s">
        <v>51</v>
      </c>
      <c r="F16" s="5"/>
      <c r="G16" s="22" t="s">
        <v>64</v>
      </c>
    </row>
    <row r="17" spans="3:7" ht="30" x14ac:dyDescent="0.25">
      <c r="C17" s="5" t="s">
        <v>53</v>
      </c>
      <c r="D17" s="5" t="s">
        <v>33</v>
      </c>
      <c r="E17" s="12" t="s">
        <v>51</v>
      </c>
      <c r="F17" s="5"/>
      <c r="G17" s="22" t="s">
        <v>353</v>
      </c>
    </row>
    <row r="18" spans="3:7" x14ac:dyDescent="0.25">
      <c r="C18" s="5" t="s">
        <v>54</v>
      </c>
      <c r="D18" s="5" t="s">
        <v>33</v>
      </c>
      <c r="E18" s="12" t="s">
        <v>51</v>
      </c>
      <c r="F18" s="5"/>
      <c r="G18" s="22" t="s">
        <v>65</v>
      </c>
    </row>
  </sheetData>
  <mergeCells count="3">
    <mergeCell ref="A2:C2"/>
    <mergeCell ref="A3:B3"/>
    <mergeCell ref="B4:G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363A0-513E-4E08-8CF3-1B8CA9D87416}">
  <sheetPr codeName="Sheet7"/>
  <dimension ref="A2:G18"/>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4</v>
      </c>
    </row>
    <row r="3" spans="1:7" ht="19.5" x14ac:dyDescent="0.3">
      <c r="A3" s="26" t="s">
        <v>351</v>
      </c>
      <c r="B3" s="26"/>
    </row>
    <row r="4" spans="1:7" x14ac:dyDescent="0.25">
      <c r="B4" s="28" t="s">
        <v>355</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5" t="s">
        <v>66</v>
      </c>
    </row>
    <row r="12" spans="1:7" x14ac:dyDescent="0.25">
      <c r="C12" s="5" t="s">
        <v>47</v>
      </c>
      <c r="D12" s="5" t="s">
        <v>33</v>
      </c>
      <c r="E12" s="5" t="s">
        <v>34</v>
      </c>
      <c r="F12" s="5"/>
      <c r="G12" s="5" t="s">
        <v>68</v>
      </c>
    </row>
    <row r="13" spans="1:7" x14ac:dyDescent="0.25">
      <c r="C13" s="5" t="s">
        <v>48</v>
      </c>
      <c r="D13" s="5" t="s">
        <v>33</v>
      </c>
      <c r="E13" s="5" t="s">
        <v>34</v>
      </c>
      <c r="F13" s="5"/>
      <c r="G13" s="5"/>
    </row>
    <row r="14" spans="1:7" x14ac:dyDescent="0.25">
      <c r="C14" s="5" t="s">
        <v>49</v>
      </c>
      <c r="D14" s="5" t="s">
        <v>37</v>
      </c>
      <c r="E14" s="5" t="s">
        <v>34</v>
      </c>
      <c r="F14" s="5"/>
      <c r="G14" s="5" t="s">
        <v>69</v>
      </c>
    </row>
    <row r="15" spans="1:7" x14ac:dyDescent="0.25">
      <c r="C15" s="5" t="s">
        <v>50</v>
      </c>
      <c r="D15" s="5" t="s">
        <v>37</v>
      </c>
      <c r="E15" s="5" t="s">
        <v>51</v>
      </c>
      <c r="F15" s="5"/>
      <c r="G15" s="5"/>
    </row>
    <row r="16" spans="1:7" x14ac:dyDescent="0.25">
      <c r="C16" s="5" t="s">
        <v>52</v>
      </c>
      <c r="D16" s="5" t="s">
        <v>37</v>
      </c>
      <c r="E16" s="5" t="s">
        <v>51</v>
      </c>
      <c r="F16" s="5"/>
      <c r="G16" s="5" t="s">
        <v>67</v>
      </c>
    </row>
    <row r="17" spans="3:7" x14ac:dyDescent="0.25">
      <c r="C17" s="5" t="s">
        <v>53</v>
      </c>
      <c r="D17" s="5" t="s">
        <v>33</v>
      </c>
      <c r="E17" s="5" t="s">
        <v>51</v>
      </c>
      <c r="F17" s="5"/>
      <c r="G17" s="5" t="s">
        <v>70</v>
      </c>
    </row>
    <row r="18" spans="3:7" x14ac:dyDescent="0.25">
      <c r="C18" s="5" t="s">
        <v>54</v>
      </c>
      <c r="D18" s="5" t="s">
        <v>33</v>
      </c>
      <c r="E18" s="5" t="s">
        <v>51</v>
      </c>
      <c r="F18" s="5"/>
      <c r="G18" s="5" t="s">
        <v>71</v>
      </c>
    </row>
  </sheetData>
  <mergeCells count="3">
    <mergeCell ref="A2:C2"/>
    <mergeCell ref="A3:B3"/>
    <mergeCell ref="B4:G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6C9D-FD2D-4116-B2ED-A53D7FD40AA2}">
  <sheetPr codeName="Sheet8"/>
  <dimension ref="A2:G18"/>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5</v>
      </c>
    </row>
    <row r="3" spans="1:7" ht="19.5" x14ac:dyDescent="0.3">
      <c r="A3" s="26" t="s">
        <v>351</v>
      </c>
      <c r="B3" s="26"/>
    </row>
    <row r="4" spans="1:7" x14ac:dyDescent="0.25">
      <c r="B4" s="28" t="s">
        <v>356</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72</v>
      </c>
      <c r="D11" s="5" t="s">
        <v>33</v>
      </c>
      <c r="E11" s="5" t="s">
        <v>34</v>
      </c>
      <c r="F11" s="5"/>
      <c r="G11" s="5" t="s">
        <v>80</v>
      </c>
    </row>
    <row r="12" spans="1:7" x14ac:dyDescent="0.25">
      <c r="C12" s="5" t="s">
        <v>35</v>
      </c>
      <c r="D12" s="5" t="s">
        <v>33</v>
      </c>
      <c r="E12" s="5" t="s">
        <v>34</v>
      </c>
      <c r="F12" s="5"/>
      <c r="G12" s="5" t="s">
        <v>83</v>
      </c>
    </row>
    <row r="13" spans="1:7" x14ac:dyDescent="0.25">
      <c r="C13" s="5" t="s">
        <v>73</v>
      </c>
      <c r="D13" s="5" t="s">
        <v>37</v>
      </c>
      <c r="E13" s="5" t="s">
        <v>34</v>
      </c>
      <c r="F13" s="5"/>
      <c r="G13" s="5" t="s">
        <v>81</v>
      </c>
    </row>
    <row r="14" spans="1:7" x14ac:dyDescent="0.25">
      <c r="C14" s="5" t="s">
        <v>74</v>
      </c>
      <c r="D14" s="5" t="s">
        <v>37</v>
      </c>
      <c r="E14" s="5" t="s">
        <v>51</v>
      </c>
      <c r="F14" s="5"/>
      <c r="G14" s="5" t="s">
        <v>84</v>
      </c>
    </row>
    <row r="15" spans="1:7" x14ac:dyDescent="0.25">
      <c r="C15" s="5" t="s">
        <v>75</v>
      </c>
      <c r="D15" s="5" t="s">
        <v>33</v>
      </c>
      <c r="E15" s="5" t="s">
        <v>51</v>
      </c>
      <c r="F15" s="5"/>
      <c r="G15" s="5" t="s">
        <v>85</v>
      </c>
    </row>
    <row r="16" spans="1:7" x14ac:dyDescent="0.25">
      <c r="C16" s="5" t="s">
        <v>76</v>
      </c>
      <c r="D16" s="5" t="s">
        <v>33</v>
      </c>
      <c r="E16" s="5" t="s">
        <v>51</v>
      </c>
      <c r="F16" s="5"/>
      <c r="G16" s="5" t="s">
        <v>86</v>
      </c>
    </row>
    <row r="17" spans="3:7" x14ac:dyDescent="0.25">
      <c r="C17" s="5" t="s">
        <v>77</v>
      </c>
      <c r="D17" s="5" t="s">
        <v>78</v>
      </c>
      <c r="E17" s="5" t="s">
        <v>51</v>
      </c>
      <c r="F17" s="5"/>
      <c r="G17" s="5" t="s">
        <v>82</v>
      </c>
    </row>
    <row r="18" spans="3:7" x14ac:dyDescent="0.25">
      <c r="C18" s="5" t="s">
        <v>79</v>
      </c>
      <c r="D18" s="5" t="s">
        <v>33</v>
      </c>
      <c r="E18" s="5" t="s">
        <v>51</v>
      </c>
      <c r="F18" s="5"/>
      <c r="G18" s="5"/>
    </row>
  </sheetData>
  <mergeCells count="3">
    <mergeCell ref="A2:C2"/>
    <mergeCell ref="A3:B3"/>
    <mergeCell ref="B4:G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741B-534B-47E3-8987-2D7D15462ED7}">
  <sheetPr codeName="Sheet9"/>
  <dimension ref="A2:G26"/>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6</v>
      </c>
    </row>
    <row r="3" spans="1:7" ht="19.5" x14ac:dyDescent="0.3">
      <c r="A3" s="26" t="s">
        <v>351</v>
      </c>
      <c r="B3" s="26"/>
    </row>
    <row r="4" spans="1:7" ht="21" customHeight="1" x14ac:dyDescent="0.25">
      <c r="B4" s="28" t="s">
        <v>343</v>
      </c>
      <c r="C4" s="28"/>
      <c r="D4" s="28"/>
      <c r="E4" s="28"/>
      <c r="F4" s="28"/>
      <c r="G4" s="28"/>
    </row>
    <row r="5" spans="1:7" ht="25.5" customHeight="1" x14ac:dyDescent="0.25">
      <c r="B5" s="28"/>
      <c r="C5" s="28"/>
      <c r="D5" s="28"/>
      <c r="E5" s="28"/>
      <c r="F5" s="28"/>
      <c r="G5" s="28"/>
    </row>
    <row r="6" spans="1:7" ht="24" customHeight="1"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13" t="s">
        <v>104</v>
      </c>
    </row>
    <row r="12" spans="1:7" x14ac:dyDescent="0.25">
      <c r="C12" s="5" t="s">
        <v>47</v>
      </c>
      <c r="D12" s="5" t="s">
        <v>33</v>
      </c>
      <c r="E12" s="5" t="s">
        <v>34</v>
      </c>
      <c r="F12" s="5"/>
      <c r="G12" s="5" t="s">
        <v>105</v>
      </c>
    </row>
    <row r="13" spans="1:7" x14ac:dyDescent="0.25">
      <c r="C13" s="5" t="s">
        <v>88</v>
      </c>
      <c r="D13" s="5" t="s">
        <v>37</v>
      </c>
      <c r="E13" s="5" t="s">
        <v>34</v>
      </c>
      <c r="F13" s="5"/>
      <c r="G13" s="13" t="s">
        <v>106</v>
      </c>
    </row>
    <row r="14" spans="1:7" x14ac:dyDescent="0.25">
      <c r="C14" s="5" t="s">
        <v>48</v>
      </c>
      <c r="D14" s="5" t="s">
        <v>33</v>
      </c>
      <c r="E14" s="5" t="s">
        <v>34</v>
      </c>
      <c r="F14" s="5"/>
      <c r="G14" s="5"/>
    </row>
    <row r="15" spans="1:7" x14ac:dyDescent="0.25">
      <c r="C15" s="5" t="s">
        <v>94</v>
      </c>
      <c r="D15" s="5" t="s">
        <v>37</v>
      </c>
      <c r="E15" s="5" t="s">
        <v>34</v>
      </c>
      <c r="F15" s="5"/>
      <c r="G15" s="5"/>
    </row>
    <row r="16" spans="1:7" x14ac:dyDescent="0.25">
      <c r="C16" s="5" t="s">
        <v>89</v>
      </c>
      <c r="D16" s="5" t="s">
        <v>33</v>
      </c>
      <c r="E16" s="5" t="s">
        <v>51</v>
      </c>
      <c r="F16" s="5"/>
      <c r="G16" s="13" t="s">
        <v>107</v>
      </c>
    </row>
    <row r="17" spans="3:7" x14ac:dyDescent="0.25">
      <c r="C17" s="5" t="s">
        <v>53</v>
      </c>
      <c r="D17" s="5" t="s">
        <v>33</v>
      </c>
      <c r="E17" s="5" t="s">
        <v>51</v>
      </c>
      <c r="F17" s="5"/>
      <c r="G17" s="13" t="s">
        <v>108</v>
      </c>
    </row>
    <row r="18" spans="3:7" x14ac:dyDescent="0.25">
      <c r="C18" s="5" t="s">
        <v>95</v>
      </c>
      <c r="D18" s="5" t="s">
        <v>78</v>
      </c>
      <c r="E18" s="5" t="s">
        <v>51</v>
      </c>
      <c r="F18" s="5"/>
      <c r="G18" s="13" t="s">
        <v>109</v>
      </c>
    </row>
    <row r="19" spans="3:7" x14ac:dyDescent="0.25">
      <c r="C19" s="5" t="s">
        <v>96</v>
      </c>
      <c r="D19" s="5" t="s">
        <v>33</v>
      </c>
      <c r="E19" s="5" t="s">
        <v>51</v>
      </c>
      <c r="F19" s="5"/>
      <c r="G19" s="13" t="s">
        <v>110</v>
      </c>
    </row>
    <row r="20" spans="3:7" ht="30" x14ac:dyDescent="0.25">
      <c r="C20" s="5" t="s">
        <v>97</v>
      </c>
      <c r="D20" s="5" t="s">
        <v>78</v>
      </c>
      <c r="E20" s="5" t="s">
        <v>51</v>
      </c>
      <c r="F20" s="5"/>
      <c r="G20" s="13" t="s">
        <v>111</v>
      </c>
    </row>
    <row r="21" spans="3:7" x14ac:dyDescent="0.25">
      <c r="C21" s="5" t="s">
        <v>98</v>
      </c>
      <c r="D21" s="5" t="s">
        <v>78</v>
      </c>
      <c r="E21" s="5" t="s">
        <v>51</v>
      </c>
      <c r="F21" s="5"/>
      <c r="G21" s="13" t="s">
        <v>112</v>
      </c>
    </row>
    <row r="22" spans="3:7" x14ac:dyDescent="0.25">
      <c r="C22" s="5" t="s">
        <v>99</v>
      </c>
      <c r="D22" s="5" t="s">
        <v>33</v>
      </c>
      <c r="E22" s="5" t="s">
        <v>51</v>
      </c>
      <c r="F22" s="5"/>
      <c r="G22" s="13" t="s">
        <v>113</v>
      </c>
    </row>
    <row r="23" spans="3:7" ht="30" x14ac:dyDescent="0.25">
      <c r="C23" s="5" t="s">
        <v>100</v>
      </c>
      <c r="D23" s="5" t="s">
        <v>78</v>
      </c>
      <c r="E23" s="5" t="s">
        <v>51</v>
      </c>
      <c r="F23" s="5"/>
      <c r="G23" s="13" t="s">
        <v>114</v>
      </c>
    </row>
    <row r="24" spans="3:7" x14ac:dyDescent="0.25">
      <c r="C24" s="5" t="s">
        <v>101</v>
      </c>
      <c r="D24" s="5" t="s">
        <v>78</v>
      </c>
      <c r="E24" s="5" t="s">
        <v>51</v>
      </c>
      <c r="F24" s="5"/>
      <c r="G24" s="5"/>
    </row>
    <row r="25" spans="3:7" x14ac:dyDescent="0.25">
      <c r="C25" s="5" t="s">
        <v>102</v>
      </c>
      <c r="D25" s="5" t="s">
        <v>78</v>
      </c>
      <c r="E25" s="5" t="s">
        <v>51</v>
      </c>
      <c r="F25" s="5"/>
      <c r="G25" s="5"/>
    </row>
    <row r="26" spans="3:7" x14ac:dyDescent="0.25">
      <c r="C26" s="5" t="s">
        <v>103</v>
      </c>
      <c r="D26" s="5" t="s">
        <v>78</v>
      </c>
      <c r="E26" s="5" t="s">
        <v>51</v>
      </c>
      <c r="F26" s="5"/>
      <c r="G26" s="5"/>
    </row>
  </sheetData>
  <mergeCells count="3">
    <mergeCell ref="A2:C2"/>
    <mergeCell ref="A3:B3"/>
    <mergeCell ref="B4:G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6084-A638-4B28-943A-CED90C2DF8E4}">
  <sheetPr codeName="Sheet10"/>
  <dimension ref="A2:G43"/>
  <sheetViews>
    <sheetView showGridLines="0" workbookViewId="0"/>
  </sheetViews>
  <sheetFormatPr defaultRowHeight="15" x14ac:dyDescent="0.25"/>
  <cols>
    <col min="1" max="2" width="9.140625" style="11"/>
    <col min="3" max="3" width="23.5703125" style="11" bestFit="1" customWidth="1"/>
    <col min="4" max="4" width="20.5703125" style="11" customWidth="1"/>
    <col min="5" max="5" width="23.42578125" style="11" customWidth="1"/>
    <col min="6" max="6" width="24.7109375" style="11" customWidth="1"/>
    <col min="7" max="7" width="51.5703125" style="19" customWidth="1"/>
    <col min="8" max="16384" width="9.140625" style="11"/>
  </cols>
  <sheetData>
    <row r="2" spans="1:7" ht="26.25" x14ac:dyDescent="0.4">
      <c r="A2" s="25" t="s">
        <v>352</v>
      </c>
      <c r="B2" s="25"/>
      <c r="C2" s="25"/>
      <c r="D2" s="14" t="s">
        <v>7</v>
      </c>
    </row>
    <row r="3" spans="1:7" ht="19.5" x14ac:dyDescent="0.3">
      <c r="A3" s="26" t="s">
        <v>351</v>
      </c>
      <c r="B3" s="26"/>
    </row>
    <row r="4" spans="1:7" x14ac:dyDescent="0.25">
      <c r="B4" s="28" t="s">
        <v>350</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t="s">
        <v>34</v>
      </c>
      <c r="F11" s="5"/>
      <c r="G11" s="13" t="s">
        <v>346</v>
      </c>
    </row>
    <row r="12" spans="1:7" x14ac:dyDescent="0.25">
      <c r="C12" s="5" t="s">
        <v>215</v>
      </c>
      <c r="D12" s="5" t="s">
        <v>247</v>
      </c>
      <c r="E12" s="5" t="s">
        <v>34</v>
      </c>
      <c r="F12" s="5"/>
      <c r="G12" s="13" t="s">
        <v>347</v>
      </c>
    </row>
    <row r="13" spans="1:7" ht="45" x14ac:dyDescent="0.25">
      <c r="C13" s="5" t="s">
        <v>216</v>
      </c>
      <c r="D13" s="5" t="s">
        <v>344</v>
      </c>
      <c r="E13" s="12" t="s">
        <v>51</v>
      </c>
      <c r="F13" s="5" t="s">
        <v>345</v>
      </c>
      <c r="G13" s="13" t="s">
        <v>349</v>
      </c>
    </row>
    <row r="14" spans="1:7" x14ac:dyDescent="0.25">
      <c r="C14" s="5" t="s">
        <v>217</v>
      </c>
      <c r="D14" s="5" t="s">
        <v>248</v>
      </c>
      <c r="E14" s="12" t="s">
        <v>51</v>
      </c>
      <c r="F14" s="5"/>
      <c r="G14" s="29" t="s">
        <v>348</v>
      </c>
    </row>
    <row r="15" spans="1:7" x14ac:dyDescent="0.25">
      <c r="C15" s="5" t="s">
        <v>218</v>
      </c>
      <c r="D15" s="5" t="s">
        <v>248</v>
      </c>
      <c r="E15" s="12" t="s">
        <v>51</v>
      </c>
      <c r="F15" s="5"/>
      <c r="G15" s="30"/>
    </row>
    <row r="16" spans="1:7" x14ac:dyDescent="0.25">
      <c r="C16" s="5" t="s">
        <v>219</v>
      </c>
      <c r="D16" s="5" t="s">
        <v>248</v>
      </c>
      <c r="E16" s="12" t="s">
        <v>51</v>
      </c>
      <c r="F16" s="5"/>
      <c r="G16" s="30"/>
    </row>
    <row r="17" spans="3:7" x14ac:dyDescent="0.25">
      <c r="C17" s="5" t="s">
        <v>220</v>
      </c>
      <c r="D17" s="5" t="s">
        <v>248</v>
      </c>
      <c r="E17" s="12" t="s">
        <v>51</v>
      </c>
      <c r="F17" s="5"/>
      <c r="G17" s="30"/>
    </row>
    <row r="18" spans="3:7" x14ac:dyDescent="0.25">
      <c r="C18" s="5" t="s">
        <v>221</v>
      </c>
      <c r="D18" s="5" t="s">
        <v>248</v>
      </c>
      <c r="E18" s="12" t="s">
        <v>51</v>
      </c>
      <c r="F18" s="5"/>
      <c r="G18" s="30"/>
    </row>
    <row r="19" spans="3:7" x14ac:dyDescent="0.25">
      <c r="C19" s="5" t="s">
        <v>222</v>
      </c>
      <c r="D19" s="5" t="s">
        <v>248</v>
      </c>
      <c r="E19" s="12" t="s">
        <v>51</v>
      </c>
      <c r="F19" s="5"/>
      <c r="G19" s="30"/>
    </row>
    <row r="20" spans="3:7" x14ac:dyDescent="0.25">
      <c r="C20" s="5" t="s">
        <v>223</v>
      </c>
      <c r="D20" s="5" t="s">
        <v>248</v>
      </c>
      <c r="E20" s="12" t="s">
        <v>51</v>
      </c>
      <c r="F20" s="5"/>
      <c r="G20" s="30"/>
    </row>
    <row r="21" spans="3:7" x14ac:dyDescent="0.25">
      <c r="C21" s="5" t="s">
        <v>224</v>
      </c>
      <c r="D21" s="5" t="s">
        <v>248</v>
      </c>
      <c r="E21" s="12" t="s">
        <v>51</v>
      </c>
      <c r="F21" s="5"/>
      <c r="G21" s="30"/>
    </row>
    <row r="22" spans="3:7" x14ac:dyDescent="0.25">
      <c r="C22" s="5" t="s">
        <v>225</v>
      </c>
      <c r="D22" s="5" t="s">
        <v>248</v>
      </c>
      <c r="E22" s="12" t="s">
        <v>51</v>
      </c>
      <c r="F22" s="5"/>
      <c r="G22" s="30"/>
    </row>
    <row r="23" spans="3:7" x14ac:dyDescent="0.25">
      <c r="C23" s="5" t="s">
        <v>226</v>
      </c>
      <c r="D23" s="5" t="s">
        <v>248</v>
      </c>
      <c r="E23" s="12" t="s">
        <v>51</v>
      </c>
      <c r="F23" s="5"/>
      <c r="G23" s="30"/>
    </row>
    <row r="24" spans="3:7" x14ac:dyDescent="0.25">
      <c r="C24" s="5" t="s">
        <v>227</v>
      </c>
      <c r="D24" s="5" t="s">
        <v>248</v>
      </c>
      <c r="E24" s="12" t="s">
        <v>51</v>
      </c>
      <c r="F24" s="5"/>
      <c r="G24" s="30"/>
    </row>
    <row r="25" spans="3:7" x14ac:dyDescent="0.25">
      <c r="C25" s="5" t="s">
        <v>228</v>
      </c>
      <c r="D25" s="5" t="s">
        <v>248</v>
      </c>
      <c r="E25" s="12" t="s">
        <v>51</v>
      </c>
      <c r="F25" s="5"/>
      <c r="G25" s="30"/>
    </row>
    <row r="26" spans="3:7" x14ac:dyDescent="0.25">
      <c r="C26" s="5" t="s">
        <v>229</v>
      </c>
      <c r="D26" s="5" t="s">
        <v>248</v>
      </c>
      <c r="E26" s="12" t="s">
        <v>51</v>
      </c>
      <c r="F26" s="5"/>
      <c r="G26" s="30"/>
    </row>
    <row r="27" spans="3:7" x14ac:dyDescent="0.25">
      <c r="C27" s="5" t="s">
        <v>230</v>
      </c>
      <c r="D27" s="5" t="s">
        <v>248</v>
      </c>
      <c r="E27" s="12" t="s">
        <v>51</v>
      </c>
      <c r="F27" s="5"/>
      <c r="G27" s="30"/>
    </row>
    <row r="28" spans="3:7" x14ac:dyDescent="0.25">
      <c r="C28" s="5" t="s">
        <v>231</v>
      </c>
      <c r="D28" s="5" t="s">
        <v>248</v>
      </c>
      <c r="E28" s="12" t="s">
        <v>51</v>
      </c>
      <c r="F28" s="5"/>
      <c r="G28" s="30"/>
    </row>
    <row r="29" spans="3:7" x14ac:dyDescent="0.25">
      <c r="C29" s="5" t="s">
        <v>232</v>
      </c>
      <c r="D29" s="5" t="s">
        <v>248</v>
      </c>
      <c r="E29" s="12" t="s">
        <v>51</v>
      </c>
      <c r="F29" s="5"/>
      <c r="G29" s="30"/>
    </row>
    <row r="30" spans="3:7" x14ac:dyDescent="0.25">
      <c r="C30" s="5" t="s">
        <v>233</v>
      </c>
      <c r="D30" s="5" t="s">
        <v>248</v>
      </c>
      <c r="E30" s="12" t="s">
        <v>51</v>
      </c>
      <c r="F30" s="5"/>
      <c r="G30" s="30"/>
    </row>
    <row r="31" spans="3:7" x14ac:dyDescent="0.25">
      <c r="C31" s="5" t="s">
        <v>234</v>
      </c>
      <c r="D31" s="5" t="s">
        <v>248</v>
      </c>
      <c r="E31" s="12" t="s">
        <v>51</v>
      </c>
      <c r="F31" s="5"/>
      <c r="G31" s="30"/>
    </row>
    <row r="32" spans="3:7" x14ac:dyDescent="0.25">
      <c r="C32" s="5" t="s">
        <v>235</v>
      </c>
      <c r="D32" s="5" t="s">
        <v>248</v>
      </c>
      <c r="E32" s="12" t="s">
        <v>51</v>
      </c>
      <c r="F32" s="5"/>
      <c r="G32" s="30"/>
    </row>
    <row r="33" spans="3:7" x14ac:dyDescent="0.25">
      <c r="C33" s="5" t="s">
        <v>236</v>
      </c>
      <c r="D33" s="5" t="s">
        <v>248</v>
      </c>
      <c r="E33" s="12" t="s">
        <v>51</v>
      </c>
      <c r="F33" s="5"/>
      <c r="G33" s="30"/>
    </row>
    <row r="34" spans="3:7" x14ac:dyDescent="0.25">
      <c r="C34" s="5" t="s">
        <v>237</v>
      </c>
      <c r="D34" s="5" t="s">
        <v>248</v>
      </c>
      <c r="E34" s="12" t="s">
        <v>51</v>
      </c>
      <c r="F34" s="5"/>
      <c r="G34" s="30"/>
    </row>
    <row r="35" spans="3:7" x14ac:dyDescent="0.25">
      <c r="C35" s="5" t="s">
        <v>238</v>
      </c>
      <c r="D35" s="5" t="s">
        <v>248</v>
      </c>
      <c r="E35" s="12" t="s">
        <v>51</v>
      </c>
      <c r="F35" s="5"/>
      <c r="G35" s="30"/>
    </row>
    <row r="36" spans="3:7" x14ac:dyDescent="0.25">
      <c r="C36" s="5" t="s">
        <v>239</v>
      </c>
      <c r="D36" s="5" t="s">
        <v>248</v>
      </c>
      <c r="E36" s="12" t="s">
        <v>51</v>
      </c>
      <c r="F36" s="5"/>
      <c r="G36" s="30"/>
    </row>
    <row r="37" spans="3:7" x14ac:dyDescent="0.25">
      <c r="C37" s="5" t="s">
        <v>240</v>
      </c>
      <c r="D37" s="5" t="s">
        <v>248</v>
      </c>
      <c r="E37" s="12" t="s">
        <v>51</v>
      </c>
      <c r="F37" s="5"/>
      <c r="G37" s="30"/>
    </row>
    <row r="38" spans="3:7" x14ac:dyDescent="0.25">
      <c r="C38" s="5" t="s">
        <v>241</v>
      </c>
      <c r="D38" s="5" t="s">
        <v>248</v>
      </c>
      <c r="E38" s="12" t="s">
        <v>51</v>
      </c>
      <c r="F38" s="5"/>
      <c r="G38" s="30"/>
    </row>
    <row r="39" spans="3:7" x14ac:dyDescent="0.25">
      <c r="C39" s="5" t="s">
        <v>242</v>
      </c>
      <c r="D39" s="5" t="s">
        <v>248</v>
      </c>
      <c r="E39" s="12" t="s">
        <v>51</v>
      </c>
      <c r="F39" s="5"/>
      <c r="G39" s="30"/>
    </row>
    <row r="40" spans="3:7" x14ac:dyDescent="0.25">
      <c r="C40" s="5" t="s">
        <v>243</v>
      </c>
      <c r="D40" s="5" t="s">
        <v>248</v>
      </c>
      <c r="E40" s="12" t="s">
        <v>51</v>
      </c>
      <c r="F40" s="5"/>
      <c r="G40" s="30"/>
    </row>
    <row r="41" spans="3:7" x14ac:dyDescent="0.25">
      <c r="C41" s="5" t="s">
        <v>244</v>
      </c>
      <c r="D41" s="5" t="s">
        <v>248</v>
      </c>
      <c r="E41" s="12" t="s">
        <v>51</v>
      </c>
      <c r="F41" s="5"/>
      <c r="G41" s="30"/>
    </row>
    <row r="42" spans="3:7" x14ac:dyDescent="0.25">
      <c r="C42" s="5" t="s">
        <v>245</v>
      </c>
      <c r="D42" s="5" t="s">
        <v>248</v>
      </c>
      <c r="E42" s="12" t="s">
        <v>51</v>
      </c>
      <c r="F42" s="5"/>
      <c r="G42" s="30"/>
    </row>
    <row r="43" spans="3:7" x14ac:dyDescent="0.25">
      <c r="C43" s="5" t="s">
        <v>246</v>
      </c>
      <c r="D43" s="5" t="s">
        <v>248</v>
      </c>
      <c r="E43" s="12" t="s">
        <v>51</v>
      </c>
      <c r="F43" s="5"/>
      <c r="G43" s="31"/>
    </row>
  </sheetData>
  <mergeCells count="4">
    <mergeCell ref="G14:G43"/>
    <mergeCell ref="A2:C2"/>
    <mergeCell ref="A3:B3"/>
    <mergeCell ref="B4:G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5B6D-FF04-4EB9-AB50-2B8CC5E3223D}">
  <sheetPr codeName="Sheet11"/>
  <dimension ref="A2:G19"/>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8</v>
      </c>
    </row>
    <row r="3" spans="1:7" ht="19.5" x14ac:dyDescent="0.3">
      <c r="A3" s="26" t="s">
        <v>351</v>
      </c>
      <c r="B3" s="26"/>
    </row>
    <row r="4" spans="1:7" x14ac:dyDescent="0.25">
      <c r="B4" s="28" t="s">
        <v>357</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5" t="s">
        <v>118</v>
      </c>
    </row>
    <row r="12" spans="1:7" x14ac:dyDescent="0.25">
      <c r="C12" s="5" t="s">
        <v>87</v>
      </c>
      <c r="D12" s="5" t="s">
        <v>33</v>
      </c>
      <c r="E12" s="5" t="s">
        <v>34</v>
      </c>
      <c r="F12" s="5"/>
      <c r="G12" s="5" t="s">
        <v>119</v>
      </c>
    </row>
    <row r="13" spans="1:7" x14ac:dyDescent="0.25">
      <c r="C13" s="5" t="s">
        <v>88</v>
      </c>
      <c r="D13" s="5" t="s">
        <v>37</v>
      </c>
      <c r="E13" s="5" t="s">
        <v>34</v>
      </c>
      <c r="F13" s="5"/>
      <c r="G13" s="5" t="s">
        <v>120</v>
      </c>
    </row>
    <row r="14" spans="1:7" x14ac:dyDescent="0.25">
      <c r="C14" s="5" t="s">
        <v>48</v>
      </c>
      <c r="D14" s="5" t="s">
        <v>33</v>
      </c>
      <c r="E14" s="5" t="s">
        <v>34</v>
      </c>
      <c r="F14" s="5"/>
      <c r="G14" s="5"/>
    </row>
    <row r="15" spans="1:7" x14ac:dyDescent="0.25">
      <c r="C15" s="5" t="s">
        <v>89</v>
      </c>
      <c r="D15" s="5" t="s">
        <v>33</v>
      </c>
      <c r="E15" s="5" t="s">
        <v>51</v>
      </c>
      <c r="F15" s="5"/>
      <c r="G15" s="5" t="s">
        <v>121</v>
      </c>
    </row>
    <row r="16" spans="1:7" x14ac:dyDescent="0.25">
      <c r="C16" s="5" t="s">
        <v>53</v>
      </c>
      <c r="D16" s="5" t="s">
        <v>33</v>
      </c>
      <c r="E16" s="5" t="s">
        <v>51</v>
      </c>
      <c r="F16" s="5"/>
      <c r="G16" s="5" t="s">
        <v>122</v>
      </c>
    </row>
    <row r="17" spans="3:7" x14ac:dyDescent="0.25">
      <c r="C17" s="5" t="s">
        <v>115</v>
      </c>
      <c r="D17" s="5" t="s">
        <v>78</v>
      </c>
      <c r="E17" s="5" t="s">
        <v>51</v>
      </c>
      <c r="F17" s="5"/>
      <c r="G17" s="5" t="s">
        <v>123</v>
      </c>
    </row>
    <row r="18" spans="3:7" x14ac:dyDescent="0.25">
      <c r="C18" s="5" t="s">
        <v>116</v>
      </c>
      <c r="D18" s="5" t="s">
        <v>33</v>
      </c>
      <c r="E18" s="5" t="s">
        <v>51</v>
      </c>
      <c r="F18" s="5"/>
      <c r="G18" s="5" t="s">
        <v>124</v>
      </c>
    </row>
    <row r="19" spans="3:7" x14ac:dyDescent="0.25">
      <c r="C19" s="5" t="s">
        <v>117</v>
      </c>
      <c r="D19" s="5" t="s">
        <v>78</v>
      </c>
      <c r="E19" s="5" t="s">
        <v>34</v>
      </c>
      <c r="F19" s="5"/>
      <c r="G19" s="5" t="s">
        <v>125</v>
      </c>
    </row>
  </sheetData>
  <mergeCells count="3">
    <mergeCell ref="A2:C2"/>
    <mergeCell ref="A3:B3"/>
    <mergeCell ref="B4:G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D18E-72D4-447D-9C74-79DD62D18665}">
  <sheetPr codeName="Sheet12"/>
  <dimension ref="A2:G24"/>
  <sheetViews>
    <sheetView showGridLines="0" workbookViewId="0"/>
  </sheetViews>
  <sheetFormatPr defaultRowHeight="15" x14ac:dyDescent="0.25"/>
  <cols>
    <col min="1" max="2" width="9.140625" style="11"/>
    <col min="3" max="3" width="26.7109375" style="11" bestFit="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9</v>
      </c>
    </row>
    <row r="3" spans="1:7" ht="19.5" x14ac:dyDescent="0.3">
      <c r="A3" s="26" t="s">
        <v>351</v>
      </c>
      <c r="B3" s="26"/>
    </row>
    <row r="4" spans="1:7" ht="19.5" x14ac:dyDescent="0.3">
      <c r="A4" s="20"/>
      <c r="B4" s="28" t="s">
        <v>372</v>
      </c>
      <c r="C4" s="28"/>
      <c r="D4" s="28"/>
      <c r="E4" s="28"/>
      <c r="F4" s="28"/>
      <c r="G4" s="28"/>
    </row>
    <row r="5" spans="1:7" ht="19.5" x14ac:dyDescent="0.3">
      <c r="A5" s="20"/>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t="s">
        <v>34</v>
      </c>
      <c r="F11" s="5"/>
      <c r="G11" s="13" t="s">
        <v>358</v>
      </c>
    </row>
    <row r="12" spans="1:7" x14ac:dyDescent="0.25">
      <c r="C12" s="5" t="s">
        <v>215</v>
      </c>
      <c r="D12" s="5" t="s">
        <v>247</v>
      </c>
      <c r="E12" s="5" t="s">
        <v>34</v>
      </c>
      <c r="F12" s="5"/>
      <c r="G12" s="13" t="s">
        <v>359</v>
      </c>
    </row>
    <row r="13" spans="1:7" x14ac:dyDescent="0.25">
      <c r="C13" s="5" t="s">
        <v>249</v>
      </c>
      <c r="D13" s="5" t="s">
        <v>247</v>
      </c>
      <c r="E13" s="5" t="s">
        <v>51</v>
      </c>
      <c r="F13" s="5"/>
      <c r="G13" s="13" t="s">
        <v>360</v>
      </c>
    </row>
    <row r="14" spans="1:7" x14ac:dyDescent="0.25">
      <c r="C14" s="5" t="s">
        <v>250</v>
      </c>
      <c r="D14" s="5" t="s">
        <v>261</v>
      </c>
      <c r="E14" s="5" t="s">
        <v>51</v>
      </c>
      <c r="F14" s="5"/>
      <c r="G14" s="13" t="s">
        <v>362</v>
      </c>
    </row>
    <row r="15" spans="1:7" x14ac:dyDescent="0.25">
      <c r="C15" s="5" t="s">
        <v>251</v>
      </c>
      <c r="D15" s="5" t="s">
        <v>247</v>
      </c>
      <c r="E15" s="5" t="s">
        <v>51</v>
      </c>
      <c r="F15" s="5"/>
      <c r="G15" s="13" t="s">
        <v>363</v>
      </c>
    </row>
    <row r="16" spans="1:7" ht="30" x14ac:dyDescent="0.25">
      <c r="C16" s="5" t="s">
        <v>252</v>
      </c>
      <c r="D16" s="5" t="s">
        <v>261</v>
      </c>
      <c r="E16" s="5" t="s">
        <v>51</v>
      </c>
      <c r="F16" s="5"/>
      <c r="G16" s="13" t="s">
        <v>364</v>
      </c>
    </row>
    <row r="17" spans="3:7" x14ac:dyDescent="0.25">
      <c r="C17" s="5" t="s">
        <v>253</v>
      </c>
      <c r="D17" s="5" t="s">
        <v>247</v>
      </c>
      <c r="E17" s="5" t="s">
        <v>51</v>
      </c>
      <c r="F17" s="5"/>
      <c r="G17" s="13" t="s">
        <v>365</v>
      </c>
    </row>
    <row r="18" spans="3:7" ht="30" x14ac:dyDescent="0.25">
      <c r="C18" s="5" t="s">
        <v>254</v>
      </c>
      <c r="D18" s="5" t="s">
        <v>261</v>
      </c>
      <c r="E18" s="5" t="s">
        <v>51</v>
      </c>
      <c r="F18" s="5"/>
      <c r="G18" s="13" t="s">
        <v>366</v>
      </c>
    </row>
    <row r="19" spans="3:7" x14ac:dyDescent="0.25">
      <c r="C19" s="5" t="s">
        <v>255</v>
      </c>
      <c r="D19" s="5" t="s">
        <v>247</v>
      </c>
      <c r="E19" s="5" t="s">
        <v>51</v>
      </c>
      <c r="F19" s="5"/>
      <c r="G19" s="13" t="s">
        <v>367</v>
      </c>
    </row>
    <row r="20" spans="3:7" x14ac:dyDescent="0.25">
      <c r="C20" s="5" t="s">
        <v>256</v>
      </c>
      <c r="D20" s="5" t="s">
        <v>261</v>
      </c>
      <c r="E20" s="5" t="s">
        <v>51</v>
      </c>
      <c r="F20" s="5"/>
      <c r="G20" s="13" t="s">
        <v>368</v>
      </c>
    </row>
    <row r="21" spans="3:7" x14ac:dyDescent="0.25">
      <c r="C21" s="5" t="s">
        <v>257</v>
      </c>
      <c r="D21" s="5" t="s">
        <v>247</v>
      </c>
      <c r="E21" s="5" t="s">
        <v>51</v>
      </c>
      <c r="F21" s="5"/>
      <c r="G21" s="13" t="s">
        <v>369</v>
      </c>
    </row>
    <row r="22" spans="3:7" ht="30" x14ac:dyDescent="0.25">
      <c r="C22" s="5" t="s">
        <v>258</v>
      </c>
      <c r="D22" s="5" t="s">
        <v>261</v>
      </c>
      <c r="E22" s="5" t="s">
        <v>51</v>
      </c>
      <c r="F22" s="5"/>
      <c r="G22" s="13" t="s">
        <v>370</v>
      </c>
    </row>
    <row r="23" spans="3:7" x14ac:dyDescent="0.25">
      <c r="C23" s="5" t="s">
        <v>259</v>
      </c>
      <c r="D23" s="5" t="s">
        <v>247</v>
      </c>
      <c r="E23" s="5" t="s">
        <v>51</v>
      </c>
      <c r="F23" s="5"/>
      <c r="G23" s="13" t="s">
        <v>371</v>
      </c>
    </row>
    <row r="24" spans="3:7" ht="30" x14ac:dyDescent="0.25">
      <c r="C24" s="5" t="s">
        <v>260</v>
      </c>
      <c r="D24" s="5" t="s">
        <v>261</v>
      </c>
      <c r="E24" s="5" t="s">
        <v>51</v>
      </c>
      <c r="F24" s="5"/>
      <c r="G24" s="13" t="s">
        <v>361</v>
      </c>
    </row>
  </sheetData>
  <mergeCells count="3">
    <mergeCell ref="A2:C2"/>
    <mergeCell ref="A3:B3"/>
    <mergeCell ref="B4:G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B2A9-318C-4AE4-AE11-1CA1297E4AD2}">
  <sheetPr codeName="Sheet13"/>
  <dimension ref="A2:G13"/>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10</v>
      </c>
    </row>
    <row r="3" spans="1:7" ht="19.5" x14ac:dyDescent="0.3">
      <c r="A3" s="26" t="s">
        <v>351</v>
      </c>
      <c r="B3" s="26"/>
    </row>
    <row r="4" spans="1:7" x14ac:dyDescent="0.25">
      <c r="B4" s="27" t="s">
        <v>373</v>
      </c>
      <c r="C4" s="27"/>
      <c r="D4" s="27"/>
      <c r="E4" s="27"/>
      <c r="F4" s="27"/>
      <c r="G4" s="27"/>
    </row>
    <row r="5" spans="1:7" x14ac:dyDescent="0.25">
      <c r="B5" s="27"/>
      <c r="C5" s="27"/>
      <c r="D5" s="27"/>
      <c r="E5" s="27"/>
      <c r="F5" s="27"/>
      <c r="G5" s="27"/>
    </row>
    <row r="6" spans="1:7" x14ac:dyDescent="0.25">
      <c r="B6" s="27"/>
      <c r="C6" s="27"/>
      <c r="D6" s="27"/>
      <c r="E6" s="27"/>
      <c r="F6" s="27"/>
      <c r="G6" s="27"/>
    </row>
    <row r="7" spans="1:7" x14ac:dyDescent="0.25">
      <c r="B7" s="27"/>
      <c r="C7" s="27"/>
      <c r="D7" s="27"/>
      <c r="E7" s="27"/>
      <c r="F7" s="27"/>
      <c r="G7" s="27"/>
    </row>
    <row r="10" spans="1:7" x14ac:dyDescent="0.25">
      <c r="C10" s="9" t="s">
        <v>28</v>
      </c>
      <c r="D10" s="10" t="s">
        <v>29</v>
      </c>
      <c r="E10" s="9" t="s">
        <v>30</v>
      </c>
      <c r="F10" s="9" t="s">
        <v>41</v>
      </c>
      <c r="G10" s="9" t="s">
        <v>31</v>
      </c>
    </row>
    <row r="11" spans="1:7" x14ac:dyDescent="0.25">
      <c r="C11" s="5" t="s">
        <v>214</v>
      </c>
      <c r="D11" s="5" t="s">
        <v>247</v>
      </c>
      <c r="E11" s="5" t="s">
        <v>34</v>
      </c>
      <c r="F11" s="5"/>
      <c r="G11" s="13" t="s">
        <v>374</v>
      </c>
    </row>
    <row r="12" spans="1:7" x14ac:dyDescent="0.25">
      <c r="C12" s="5" t="s">
        <v>215</v>
      </c>
      <c r="D12" s="5" t="s">
        <v>247</v>
      </c>
      <c r="E12" s="5" t="s">
        <v>34</v>
      </c>
      <c r="F12" s="5"/>
      <c r="G12" s="13" t="s">
        <v>375</v>
      </c>
    </row>
    <row r="13" spans="1:7" ht="30" x14ac:dyDescent="0.25">
      <c r="C13" s="5" t="s">
        <v>262</v>
      </c>
      <c r="D13" s="5" t="s">
        <v>247</v>
      </c>
      <c r="E13" s="5" t="s">
        <v>34</v>
      </c>
      <c r="F13" s="5"/>
      <c r="G13" s="13" t="s">
        <v>376</v>
      </c>
    </row>
  </sheetData>
  <mergeCells count="3">
    <mergeCell ref="A2:C2"/>
    <mergeCell ref="A3:B3"/>
    <mergeCell ref="B4:G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FF621-C2B8-405D-A284-5350CFBB5B80}">
  <sheetPr codeName="Sheet14"/>
  <dimension ref="A2:G13"/>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11</v>
      </c>
    </row>
    <row r="3" spans="1:7" ht="19.5" x14ac:dyDescent="0.3">
      <c r="A3" s="26" t="s">
        <v>351</v>
      </c>
      <c r="B3" s="26"/>
    </row>
    <row r="4" spans="1:7" x14ac:dyDescent="0.25">
      <c r="B4" s="27" t="s">
        <v>342</v>
      </c>
      <c r="C4" s="27"/>
      <c r="D4" s="27"/>
      <c r="E4" s="27"/>
      <c r="F4" s="27"/>
      <c r="G4" s="27"/>
    </row>
    <row r="5" spans="1:7" x14ac:dyDescent="0.25">
      <c r="B5" s="27"/>
      <c r="C5" s="27"/>
      <c r="D5" s="27"/>
      <c r="E5" s="27"/>
      <c r="F5" s="27"/>
      <c r="G5" s="27"/>
    </row>
    <row r="6" spans="1:7" x14ac:dyDescent="0.25">
      <c r="B6" s="27"/>
      <c r="C6" s="27"/>
      <c r="D6" s="27"/>
      <c r="E6" s="27"/>
      <c r="F6" s="27"/>
      <c r="G6" s="27"/>
    </row>
    <row r="7" spans="1:7" x14ac:dyDescent="0.25">
      <c r="B7" s="27"/>
      <c r="C7" s="27"/>
      <c r="D7" s="27"/>
      <c r="E7" s="27"/>
      <c r="F7" s="27"/>
      <c r="G7" s="27"/>
    </row>
    <row r="10" spans="1:7" x14ac:dyDescent="0.25">
      <c r="C10" s="9" t="s">
        <v>28</v>
      </c>
      <c r="D10" s="10" t="s">
        <v>29</v>
      </c>
      <c r="E10" s="9" t="s">
        <v>30</v>
      </c>
      <c r="F10" s="9" t="s">
        <v>41</v>
      </c>
      <c r="G10" s="9" t="s">
        <v>31</v>
      </c>
    </row>
    <row r="11" spans="1:7" x14ac:dyDescent="0.25">
      <c r="C11" s="5" t="s">
        <v>35</v>
      </c>
      <c r="D11" s="5" t="s">
        <v>33</v>
      </c>
      <c r="E11" s="5" t="s">
        <v>34</v>
      </c>
      <c r="F11" s="5"/>
      <c r="G11" s="5" t="s">
        <v>128</v>
      </c>
    </row>
    <row r="12" spans="1:7" x14ac:dyDescent="0.25">
      <c r="C12" s="5" t="s">
        <v>126</v>
      </c>
      <c r="D12" s="5" t="s">
        <v>78</v>
      </c>
      <c r="E12" s="5" t="s">
        <v>51</v>
      </c>
      <c r="F12" s="5"/>
      <c r="G12" s="5" t="s">
        <v>129</v>
      </c>
    </row>
    <row r="13" spans="1:7" x14ac:dyDescent="0.25">
      <c r="C13" s="5" t="s">
        <v>127</v>
      </c>
      <c r="D13" s="5" t="s">
        <v>37</v>
      </c>
      <c r="E13" s="5" t="s">
        <v>34</v>
      </c>
      <c r="F13" s="5"/>
      <c r="G13" s="5" t="s">
        <v>130</v>
      </c>
    </row>
  </sheetData>
  <mergeCells count="3">
    <mergeCell ref="A2:C2"/>
    <mergeCell ref="A3:B3"/>
    <mergeCell ref="B4:G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84C7-E1F5-4257-9BCE-38D576BFDAD7}">
  <sheetPr codeName="Sheet15"/>
  <dimension ref="A2:G14"/>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12</v>
      </c>
    </row>
    <row r="3" spans="1:7" ht="19.5" x14ac:dyDescent="0.3">
      <c r="A3" s="26" t="s">
        <v>351</v>
      </c>
      <c r="B3" s="26"/>
    </row>
    <row r="4" spans="1:7" x14ac:dyDescent="0.25">
      <c r="B4" s="28" t="s">
        <v>377</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t="s">
        <v>34</v>
      </c>
      <c r="F11" s="5"/>
      <c r="G11" s="13" t="s">
        <v>374</v>
      </c>
    </row>
    <row r="12" spans="1:7" x14ac:dyDescent="0.25">
      <c r="C12" s="5" t="s">
        <v>215</v>
      </c>
      <c r="D12" s="5" t="s">
        <v>247</v>
      </c>
      <c r="E12" s="5" t="s">
        <v>34</v>
      </c>
      <c r="F12" s="5"/>
      <c r="G12" s="13" t="s">
        <v>379</v>
      </c>
    </row>
    <row r="13" spans="1:7" ht="30" x14ac:dyDescent="0.25">
      <c r="C13" s="5" t="s">
        <v>262</v>
      </c>
      <c r="D13" s="5" t="s">
        <v>247</v>
      </c>
      <c r="E13" s="5" t="s">
        <v>34</v>
      </c>
      <c r="F13" s="5"/>
      <c r="G13" s="13" t="s">
        <v>380</v>
      </c>
    </row>
    <row r="14" spans="1:7" ht="45" x14ac:dyDescent="0.25">
      <c r="C14" s="5" t="s">
        <v>263</v>
      </c>
      <c r="D14" s="5" t="s">
        <v>248</v>
      </c>
      <c r="E14" s="5" t="s">
        <v>51</v>
      </c>
      <c r="F14" s="5"/>
      <c r="G14" s="13" t="s">
        <v>378</v>
      </c>
    </row>
  </sheetData>
  <mergeCells count="3">
    <mergeCell ref="A2:C2"/>
    <mergeCell ref="A3:B3"/>
    <mergeCell ref="B4:G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1F29-3297-4AAC-965E-8FC7D47357B4}">
  <sheetPr codeName="Sheet16"/>
  <dimension ref="A2:G17"/>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13</v>
      </c>
    </row>
    <row r="3" spans="1:7" ht="19.5" x14ac:dyDescent="0.3">
      <c r="A3" s="26" t="s">
        <v>351</v>
      </c>
      <c r="B3" s="26"/>
    </row>
    <row r="4" spans="1:7" x14ac:dyDescent="0.25">
      <c r="B4" s="28" t="s">
        <v>382</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5" t="s">
        <v>133</v>
      </c>
    </row>
    <row r="12" spans="1:7" x14ac:dyDescent="0.25">
      <c r="C12" s="5" t="s">
        <v>32</v>
      </c>
      <c r="D12" s="5" t="s">
        <v>33</v>
      </c>
      <c r="E12" s="5" t="s">
        <v>34</v>
      </c>
      <c r="F12" s="5"/>
      <c r="G12" s="5" t="s">
        <v>134</v>
      </c>
    </row>
    <row r="13" spans="1:7" x14ac:dyDescent="0.25">
      <c r="C13" s="5" t="s">
        <v>131</v>
      </c>
      <c r="D13" s="5" t="s">
        <v>33</v>
      </c>
      <c r="E13" s="5" t="s">
        <v>34</v>
      </c>
      <c r="F13" s="5"/>
      <c r="G13" s="5" t="s">
        <v>381</v>
      </c>
    </row>
    <row r="14" spans="1:7" x14ac:dyDescent="0.25">
      <c r="C14" s="5" t="s">
        <v>132</v>
      </c>
      <c r="D14" s="5" t="s">
        <v>78</v>
      </c>
      <c r="E14" s="5" t="s">
        <v>34</v>
      </c>
      <c r="F14" s="5"/>
      <c r="G14" s="5" t="s">
        <v>135</v>
      </c>
    </row>
    <row r="15" spans="1:7" x14ac:dyDescent="0.25">
      <c r="C15" s="5" t="s">
        <v>27</v>
      </c>
      <c r="D15" s="5" t="s">
        <v>78</v>
      </c>
      <c r="E15" s="5" t="s">
        <v>51</v>
      </c>
      <c r="F15" s="5"/>
      <c r="G15" s="5" t="s">
        <v>136</v>
      </c>
    </row>
    <row r="17" spans="7:7" x14ac:dyDescent="0.25">
      <c r="G17" s="23"/>
    </row>
  </sheetData>
  <mergeCells count="3">
    <mergeCell ref="A2:C2"/>
    <mergeCell ref="A3:B3"/>
    <mergeCell ref="B4:G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30F3-CC44-4218-8968-99BCEC335FDA}">
  <sheetPr codeName="Sheet17"/>
  <dimension ref="A2:G17"/>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14</v>
      </c>
    </row>
    <row r="3" spans="1:7" ht="19.5" x14ac:dyDescent="0.3">
      <c r="A3" s="26" t="s">
        <v>351</v>
      </c>
      <c r="B3" s="26"/>
    </row>
    <row r="4" spans="1:7" x14ac:dyDescent="0.25">
      <c r="B4" s="28" t="s">
        <v>387</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264</v>
      </c>
      <c r="D11" s="5" t="s">
        <v>247</v>
      </c>
      <c r="E11" s="5"/>
      <c r="F11" s="5"/>
      <c r="G11" s="13" t="s">
        <v>389</v>
      </c>
    </row>
    <row r="12" spans="1:7" x14ac:dyDescent="0.25">
      <c r="C12" s="5" t="s">
        <v>214</v>
      </c>
      <c r="D12" s="5" t="s">
        <v>247</v>
      </c>
      <c r="E12" s="5"/>
      <c r="F12" s="5"/>
      <c r="G12" s="13"/>
    </row>
    <row r="13" spans="1:7" x14ac:dyDescent="0.25">
      <c r="C13" s="5" t="s">
        <v>265</v>
      </c>
      <c r="D13" s="5" t="s">
        <v>247</v>
      </c>
      <c r="E13" s="5"/>
      <c r="F13" s="5"/>
      <c r="G13" s="5" t="s">
        <v>381</v>
      </c>
    </row>
    <row r="14" spans="1:7" ht="60" x14ac:dyDescent="0.25">
      <c r="C14" s="5" t="s">
        <v>266</v>
      </c>
      <c r="D14" s="5" t="s">
        <v>271</v>
      </c>
      <c r="E14" s="5"/>
      <c r="F14" s="5"/>
      <c r="G14" s="13" t="s">
        <v>386</v>
      </c>
    </row>
    <row r="15" spans="1:7" ht="30" x14ac:dyDescent="0.25">
      <c r="C15" s="5" t="s">
        <v>267</v>
      </c>
      <c r="D15" s="5" t="s">
        <v>271</v>
      </c>
      <c r="E15" s="5"/>
      <c r="F15" s="5"/>
      <c r="G15" s="13" t="s">
        <v>385</v>
      </c>
    </row>
    <row r="16" spans="1:7" x14ac:dyDescent="0.25">
      <c r="C16" s="5" t="s">
        <v>268</v>
      </c>
      <c r="D16" s="5" t="s">
        <v>270</v>
      </c>
      <c r="E16" s="5"/>
      <c r="F16" s="5"/>
      <c r="G16" s="13" t="s">
        <v>384</v>
      </c>
    </row>
    <row r="17" spans="3:7" x14ac:dyDescent="0.25">
      <c r="C17" s="5" t="s">
        <v>269</v>
      </c>
      <c r="D17" s="5" t="s">
        <v>270</v>
      </c>
      <c r="E17" s="5"/>
      <c r="F17" s="5"/>
      <c r="G17" s="13" t="s">
        <v>383</v>
      </c>
    </row>
  </sheetData>
  <mergeCells count="3">
    <mergeCell ref="A2:C2"/>
    <mergeCell ref="A3:B3"/>
    <mergeCell ref="B4:G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80DE-D978-4B39-B421-1EF8E9415DBC}">
  <sheetPr codeName="Sheet18"/>
  <dimension ref="A2:G52"/>
  <sheetViews>
    <sheetView showGridLines="0" workbookViewId="0"/>
  </sheetViews>
  <sheetFormatPr defaultRowHeight="15" x14ac:dyDescent="0.25"/>
  <cols>
    <col min="1" max="2" width="9.140625" style="11"/>
    <col min="3" max="3" width="25.140625" style="11" bestFit="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15</v>
      </c>
    </row>
    <row r="3" spans="1:7" ht="19.5" x14ac:dyDescent="0.3">
      <c r="A3" s="26" t="s">
        <v>351</v>
      </c>
      <c r="B3" s="26"/>
    </row>
    <row r="4" spans="1:7" x14ac:dyDescent="0.25">
      <c r="B4" s="28" t="s">
        <v>420</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264</v>
      </c>
      <c r="D11" s="5" t="s">
        <v>247</v>
      </c>
      <c r="E11" s="5" t="s">
        <v>51</v>
      </c>
      <c r="F11" s="5"/>
      <c r="G11" s="13" t="s">
        <v>389</v>
      </c>
    </row>
    <row r="12" spans="1:7" x14ac:dyDescent="0.25">
      <c r="C12" s="5" t="s">
        <v>214</v>
      </c>
      <c r="D12" s="5" t="s">
        <v>247</v>
      </c>
      <c r="E12" s="5" t="s">
        <v>51</v>
      </c>
      <c r="F12" s="5"/>
      <c r="G12" s="13" t="s">
        <v>374</v>
      </c>
    </row>
    <row r="13" spans="1:7" x14ac:dyDescent="0.25">
      <c r="C13" s="5" t="s">
        <v>272</v>
      </c>
      <c r="D13" s="5" t="s">
        <v>311</v>
      </c>
      <c r="E13" s="5" t="s">
        <v>51</v>
      </c>
      <c r="F13" s="5"/>
      <c r="G13" s="13" t="s">
        <v>390</v>
      </c>
    </row>
    <row r="14" spans="1:7" x14ac:dyDescent="0.25">
      <c r="C14" s="5" t="s">
        <v>273</v>
      </c>
      <c r="D14" s="5" t="s">
        <v>271</v>
      </c>
      <c r="E14" s="5" t="s">
        <v>34</v>
      </c>
      <c r="F14" s="5"/>
      <c r="G14" s="13" t="s">
        <v>388</v>
      </c>
    </row>
    <row r="15" spans="1:7" ht="30" x14ac:dyDescent="0.25">
      <c r="C15" s="5" t="s">
        <v>274</v>
      </c>
      <c r="D15" s="5" t="s">
        <v>271</v>
      </c>
      <c r="E15" s="5" t="s">
        <v>51</v>
      </c>
      <c r="F15" s="5"/>
      <c r="G15" s="13" t="s">
        <v>392</v>
      </c>
    </row>
    <row r="16" spans="1:7" ht="30" x14ac:dyDescent="0.25">
      <c r="C16" s="5" t="s">
        <v>275</v>
      </c>
      <c r="D16" s="5" t="s">
        <v>311</v>
      </c>
      <c r="E16" s="5" t="s">
        <v>51</v>
      </c>
      <c r="F16" s="5"/>
      <c r="G16" s="13" t="s">
        <v>391</v>
      </c>
    </row>
    <row r="17" spans="3:7" x14ac:dyDescent="0.25">
      <c r="C17" s="5" t="s">
        <v>277</v>
      </c>
      <c r="D17" s="5" t="s">
        <v>248</v>
      </c>
      <c r="E17" s="5" t="s">
        <v>51</v>
      </c>
      <c r="F17" s="5"/>
      <c r="G17" s="5" t="s">
        <v>381</v>
      </c>
    </row>
    <row r="18" spans="3:7" x14ac:dyDescent="0.25">
      <c r="C18" s="5" t="s">
        <v>279</v>
      </c>
      <c r="D18" s="5" t="s">
        <v>248</v>
      </c>
      <c r="E18" s="5" t="s">
        <v>51</v>
      </c>
      <c r="F18" s="5"/>
      <c r="G18" s="5" t="s">
        <v>381</v>
      </c>
    </row>
    <row r="19" spans="3:7" x14ac:dyDescent="0.25">
      <c r="C19" s="5" t="s">
        <v>287</v>
      </c>
      <c r="D19" s="5" t="s">
        <v>248</v>
      </c>
      <c r="E19" s="5" t="s">
        <v>51</v>
      </c>
      <c r="F19" s="5"/>
      <c r="G19" s="5" t="s">
        <v>381</v>
      </c>
    </row>
    <row r="20" spans="3:7" x14ac:dyDescent="0.25">
      <c r="C20" s="5" t="s">
        <v>215</v>
      </c>
      <c r="D20" s="5" t="s">
        <v>247</v>
      </c>
      <c r="E20" s="5" t="s">
        <v>51</v>
      </c>
      <c r="F20" s="5"/>
      <c r="G20" s="5" t="s">
        <v>134</v>
      </c>
    </row>
    <row r="21" spans="3:7" x14ac:dyDescent="0.25">
      <c r="C21" s="5" t="s">
        <v>276</v>
      </c>
      <c r="D21" s="5" t="s">
        <v>248</v>
      </c>
      <c r="E21" s="5" t="s">
        <v>51</v>
      </c>
      <c r="F21" s="5"/>
      <c r="G21" s="13"/>
    </row>
    <row r="22" spans="3:7" x14ac:dyDescent="0.25">
      <c r="C22" s="5" t="s">
        <v>278</v>
      </c>
      <c r="D22" s="5" t="s">
        <v>248</v>
      </c>
      <c r="E22" s="5" t="s">
        <v>51</v>
      </c>
      <c r="F22" s="5"/>
      <c r="G22" s="13"/>
    </row>
    <row r="23" spans="3:7" ht="30" x14ac:dyDescent="0.25">
      <c r="C23" s="5" t="s">
        <v>280</v>
      </c>
      <c r="D23" s="5" t="s">
        <v>270</v>
      </c>
      <c r="E23" s="5" t="s">
        <v>51</v>
      </c>
      <c r="F23" s="5"/>
      <c r="G23" s="13" t="s">
        <v>411</v>
      </c>
    </row>
    <row r="24" spans="3:7" x14ac:dyDescent="0.25">
      <c r="C24" s="5" t="s">
        <v>281</v>
      </c>
      <c r="D24" s="5" t="s">
        <v>270</v>
      </c>
      <c r="E24" s="5" t="s">
        <v>51</v>
      </c>
      <c r="F24" s="5"/>
      <c r="G24" s="13" t="s">
        <v>412</v>
      </c>
    </row>
    <row r="25" spans="3:7" x14ac:dyDescent="0.25">
      <c r="C25" s="5" t="s">
        <v>282</v>
      </c>
      <c r="D25" s="5" t="s">
        <v>271</v>
      </c>
      <c r="E25" s="5" t="s">
        <v>51</v>
      </c>
      <c r="F25" s="5"/>
      <c r="G25" s="13" t="s">
        <v>413</v>
      </c>
    </row>
    <row r="26" spans="3:7" x14ac:dyDescent="0.25">
      <c r="C26" s="5" t="s">
        <v>284</v>
      </c>
      <c r="D26" s="5" t="s">
        <v>248</v>
      </c>
      <c r="E26" s="5" t="s">
        <v>51</v>
      </c>
      <c r="F26" s="5"/>
      <c r="G26" s="13" t="s">
        <v>393</v>
      </c>
    </row>
    <row r="27" spans="3:7" x14ac:dyDescent="0.25">
      <c r="C27" s="5" t="s">
        <v>283</v>
      </c>
      <c r="D27" s="5" t="s">
        <v>271</v>
      </c>
      <c r="E27" s="5" t="s">
        <v>51</v>
      </c>
      <c r="F27" s="5"/>
      <c r="G27" s="13" t="s">
        <v>414</v>
      </c>
    </row>
    <row r="28" spans="3:7" x14ac:dyDescent="0.25">
      <c r="C28" s="5" t="s">
        <v>285</v>
      </c>
      <c r="D28" s="5" t="s">
        <v>270</v>
      </c>
      <c r="E28" s="5" t="s">
        <v>51</v>
      </c>
      <c r="F28" s="5"/>
      <c r="G28" s="13"/>
    </row>
    <row r="29" spans="3:7" x14ac:dyDescent="0.25">
      <c r="C29" s="5" t="s">
        <v>286</v>
      </c>
      <c r="D29" s="5" t="s">
        <v>248</v>
      </c>
      <c r="E29" s="5" t="s">
        <v>51</v>
      </c>
      <c r="F29" s="5"/>
      <c r="G29" s="13"/>
    </row>
    <row r="30" spans="3:7" x14ac:dyDescent="0.25">
      <c r="C30" s="5" t="s">
        <v>288</v>
      </c>
      <c r="D30" s="5" t="s">
        <v>270</v>
      </c>
      <c r="E30" s="5" t="s">
        <v>51</v>
      </c>
      <c r="F30" s="5"/>
      <c r="G30" s="13" t="s">
        <v>415</v>
      </c>
    </row>
    <row r="31" spans="3:7" x14ac:dyDescent="0.25">
      <c r="C31" s="5" t="s">
        <v>289</v>
      </c>
      <c r="D31" s="5" t="s">
        <v>270</v>
      </c>
      <c r="E31" s="5" t="s">
        <v>51</v>
      </c>
      <c r="F31" s="5"/>
      <c r="G31" s="13" t="s">
        <v>416</v>
      </c>
    </row>
    <row r="32" spans="3:7" x14ac:dyDescent="0.25">
      <c r="C32" s="5" t="s">
        <v>290</v>
      </c>
      <c r="D32" s="5" t="s">
        <v>271</v>
      </c>
      <c r="E32" s="5" t="s">
        <v>34</v>
      </c>
      <c r="F32" s="5"/>
      <c r="G32" s="13" t="s">
        <v>410</v>
      </c>
    </row>
    <row r="33" spans="3:7" x14ac:dyDescent="0.25">
      <c r="C33" s="5" t="s">
        <v>291</v>
      </c>
      <c r="D33" s="5" t="s">
        <v>271</v>
      </c>
      <c r="E33" s="5" t="s">
        <v>34</v>
      </c>
      <c r="F33" s="5"/>
      <c r="G33" s="13" t="s">
        <v>409</v>
      </c>
    </row>
    <row r="34" spans="3:7" x14ac:dyDescent="0.25">
      <c r="C34" s="5" t="s">
        <v>292</v>
      </c>
      <c r="D34" s="5" t="s">
        <v>248</v>
      </c>
      <c r="E34" s="5" t="s">
        <v>51</v>
      </c>
      <c r="F34" s="5"/>
      <c r="G34" s="13" t="s">
        <v>417</v>
      </c>
    </row>
    <row r="35" spans="3:7" x14ac:dyDescent="0.25">
      <c r="C35" s="5" t="s">
        <v>293</v>
      </c>
      <c r="D35" s="5" t="s">
        <v>312</v>
      </c>
      <c r="E35" s="5" t="s">
        <v>51</v>
      </c>
      <c r="F35" s="5"/>
      <c r="G35" s="13" t="s">
        <v>418</v>
      </c>
    </row>
    <row r="36" spans="3:7" x14ac:dyDescent="0.25">
      <c r="C36" s="5" t="s">
        <v>294</v>
      </c>
      <c r="D36" s="5" t="s">
        <v>248</v>
      </c>
      <c r="E36" s="5" t="s">
        <v>34</v>
      </c>
      <c r="F36" s="5"/>
      <c r="G36" s="13" t="s">
        <v>394</v>
      </c>
    </row>
    <row r="37" spans="3:7" ht="30" x14ac:dyDescent="0.25">
      <c r="C37" s="5" t="s">
        <v>295</v>
      </c>
      <c r="D37" s="5" t="s">
        <v>270</v>
      </c>
      <c r="E37" s="5" t="s">
        <v>51</v>
      </c>
      <c r="F37" s="5"/>
      <c r="G37" s="13" t="s">
        <v>419</v>
      </c>
    </row>
    <row r="38" spans="3:7" x14ac:dyDescent="0.25">
      <c r="C38" s="5" t="s">
        <v>296</v>
      </c>
      <c r="D38" s="5" t="s">
        <v>313</v>
      </c>
      <c r="E38" s="5" t="s">
        <v>51</v>
      </c>
      <c r="F38" s="5"/>
      <c r="G38" s="13" t="s">
        <v>395</v>
      </c>
    </row>
    <row r="39" spans="3:7" x14ac:dyDescent="0.25">
      <c r="C39" s="5" t="s">
        <v>297</v>
      </c>
      <c r="D39" s="5" t="s">
        <v>313</v>
      </c>
      <c r="E39" s="5" t="s">
        <v>51</v>
      </c>
      <c r="F39" s="5"/>
      <c r="G39" s="13" t="s">
        <v>396</v>
      </c>
    </row>
    <row r="40" spans="3:7" x14ac:dyDescent="0.25">
      <c r="C40" s="5" t="s">
        <v>298</v>
      </c>
      <c r="D40" s="5" t="s">
        <v>314</v>
      </c>
      <c r="E40" s="5" t="s">
        <v>51</v>
      </c>
      <c r="F40" s="5"/>
      <c r="G40" s="13" t="s">
        <v>407</v>
      </c>
    </row>
    <row r="41" spans="3:7" x14ac:dyDescent="0.25">
      <c r="C41" s="5" t="s">
        <v>299</v>
      </c>
      <c r="D41" s="5" t="s">
        <v>314</v>
      </c>
      <c r="E41" s="5" t="s">
        <v>51</v>
      </c>
      <c r="F41" s="5"/>
      <c r="G41" s="13" t="s">
        <v>408</v>
      </c>
    </row>
    <row r="42" spans="3:7" x14ac:dyDescent="0.25">
      <c r="C42" s="5" t="s">
        <v>300</v>
      </c>
      <c r="D42" s="5" t="s">
        <v>248</v>
      </c>
      <c r="E42" s="5" t="s">
        <v>51</v>
      </c>
      <c r="F42" s="5"/>
      <c r="G42" s="13" t="s">
        <v>397</v>
      </c>
    </row>
    <row r="43" spans="3:7" x14ac:dyDescent="0.25">
      <c r="C43" s="5" t="s">
        <v>301</v>
      </c>
      <c r="D43" s="5" t="s">
        <v>248</v>
      </c>
      <c r="E43" s="5" t="s">
        <v>51</v>
      </c>
      <c r="F43" s="5"/>
      <c r="G43" s="13" t="s">
        <v>398</v>
      </c>
    </row>
    <row r="44" spans="3:7" x14ac:dyDescent="0.25">
      <c r="C44" s="5" t="s">
        <v>302</v>
      </c>
      <c r="D44" s="5" t="s">
        <v>248</v>
      </c>
      <c r="E44" s="5" t="s">
        <v>51</v>
      </c>
      <c r="F44" s="5"/>
      <c r="G44" s="13" t="s">
        <v>399</v>
      </c>
    </row>
    <row r="45" spans="3:7" x14ac:dyDescent="0.25">
      <c r="C45" s="5" t="s">
        <v>303</v>
      </c>
      <c r="D45" s="5" t="s">
        <v>248</v>
      </c>
      <c r="E45" s="5" t="s">
        <v>51</v>
      </c>
      <c r="F45" s="5"/>
      <c r="G45" s="13" t="s">
        <v>400</v>
      </c>
    </row>
    <row r="46" spans="3:7" ht="45" x14ac:dyDescent="0.25">
      <c r="C46" s="5" t="s">
        <v>304</v>
      </c>
      <c r="D46" s="5" t="s">
        <v>248</v>
      </c>
      <c r="E46" s="5" t="s">
        <v>51</v>
      </c>
      <c r="F46" s="5"/>
      <c r="G46" s="13" t="s">
        <v>401</v>
      </c>
    </row>
    <row r="47" spans="3:7" x14ac:dyDescent="0.25">
      <c r="C47" s="5" t="s">
        <v>305</v>
      </c>
      <c r="D47" s="5" t="s">
        <v>248</v>
      </c>
      <c r="E47" s="5" t="s">
        <v>51</v>
      </c>
      <c r="F47" s="5"/>
      <c r="G47" s="13" t="s">
        <v>402</v>
      </c>
    </row>
    <row r="48" spans="3:7" x14ac:dyDescent="0.25">
      <c r="C48" s="5" t="s">
        <v>306</v>
      </c>
      <c r="D48" s="5" t="s">
        <v>248</v>
      </c>
      <c r="E48" s="5" t="s">
        <v>51</v>
      </c>
      <c r="F48" s="5"/>
      <c r="G48" s="13" t="s">
        <v>403</v>
      </c>
    </row>
    <row r="49" spans="3:7" ht="30" x14ac:dyDescent="0.25">
      <c r="C49" s="5" t="s">
        <v>307</v>
      </c>
      <c r="D49" s="5" t="s">
        <v>248</v>
      </c>
      <c r="E49" s="5" t="s">
        <v>51</v>
      </c>
      <c r="F49" s="5"/>
      <c r="G49" s="13" t="s">
        <v>404</v>
      </c>
    </row>
    <row r="50" spans="3:7" x14ac:dyDescent="0.25">
      <c r="C50" s="5" t="s">
        <v>308</v>
      </c>
      <c r="D50" s="5" t="s">
        <v>248</v>
      </c>
      <c r="E50" s="5" t="s">
        <v>51</v>
      </c>
      <c r="F50" s="5"/>
      <c r="G50" s="13" t="s">
        <v>405</v>
      </c>
    </row>
    <row r="51" spans="3:7" x14ac:dyDescent="0.25">
      <c r="C51" s="5" t="s">
        <v>309</v>
      </c>
      <c r="D51" s="5" t="s">
        <v>248</v>
      </c>
      <c r="E51" s="5" t="s">
        <v>51</v>
      </c>
      <c r="F51" s="5"/>
      <c r="G51" s="13" t="s">
        <v>406</v>
      </c>
    </row>
    <row r="52" spans="3:7" x14ac:dyDescent="0.25">
      <c r="C52" s="5" t="s">
        <v>310</v>
      </c>
      <c r="D52" s="5" t="s">
        <v>248</v>
      </c>
      <c r="E52" s="5" t="s">
        <v>51</v>
      </c>
      <c r="F52" s="5"/>
      <c r="G52" s="13"/>
    </row>
  </sheetData>
  <mergeCells count="3">
    <mergeCell ref="A2:C2"/>
    <mergeCell ref="A3:B3"/>
    <mergeCell ref="B4:G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35C6-280D-41CC-922E-8E2EF7653F63}">
  <sheetPr codeName="Sheet19"/>
  <dimension ref="A2:G17"/>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16</v>
      </c>
    </row>
    <row r="3" spans="1:7" ht="19.5" x14ac:dyDescent="0.3">
      <c r="A3" s="26" t="s">
        <v>351</v>
      </c>
      <c r="B3" s="26"/>
    </row>
    <row r="4" spans="1:7" x14ac:dyDescent="0.25">
      <c r="B4" s="28" t="s">
        <v>422</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264</v>
      </c>
      <c r="D11" s="5" t="s">
        <v>247</v>
      </c>
      <c r="E11" s="5" t="s">
        <v>34</v>
      </c>
      <c r="F11" s="5"/>
      <c r="G11" s="13" t="s">
        <v>389</v>
      </c>
    </row>
    <row r="12" spans="1:7" x14ac:dyDescent="0.25">
      <c r="C12" s="5" t="s">
        <v>214</v>
      </c>
      <c r="D12" s="5" t="s">
        <v>247</v>
      </c>
      <c r="E12" s="5" t="s">
        <v>34</v>
      </c>
      <c r="F12" s="5"/>
      <c r="G12" s="13" t="s">
        <v>374</v>
      </c>
    </row>
    <row r="13" spans="1:7" x14ac:dyDescent="0.25">
      <c r="C13" s="5" t="s">
        <v>315</v>
      </c>
      <c r="D13" s="5" t="s">
        <v>271</v>
      </c>
      <c r="E13" s="5" t="s">
        <v>34</v>
      </c>
      <c r="F13" s="5"/>
      <c r="G13" s="5" t="s">
        <v>424</v>
      </c>
    </row>
    <row r="14" spans="1:7" x14ac:dyDescent="0.25">
      <c r="C14" s="5" t="s">
        <v>316</v>
      </c>
      <c r="D14" s="5" t="s">
        <v>271</v>
      </c>
      <c r="E14" s="5" t="s">
        <v>34</v>
      </c>
      <c r="F14" s="5"/>
      <c r="G14" s="5" t="s">
        <v>423</v>
      </c>
    </row>
    <row r="15" spans="1:7" x14ac:dyDescent="0.25">
      <c r="C15" s="5" t="s">
        <v>317</v>
      </c>
      <c r="D15" s="5" t="s">
        <v>248</v>
      </c>
      <c r="E15" s="5" t="s">
        <v>34</v>
      </c>
      <c r="F15" s="5"/>
      <c r="G15" s="5" t="s">
        <v>427</v>
      </c>
    </row>
    <row r="16" spans="1:7" x14ac:dyDescent="0.25">
      <c r="C16" s="5" t="s">
        <v>318</v>
      </c>
      <c r="D16" s="5" t="s">
        <v>247</v>
      </c>
      <c r="E16" s="5" t="s">
        <v>51</v>
      </c>
      <c r="F16" s="5"/>
      <c r="G16" s="5" t="s">
        <v>425</v>
      </c>
    </row>
    <row r="17" spans="3:7" x14ac:dyDescent="0.25">
      <c r="C17" s="5" t="s">
        <v>319</v>
      </c>
      <c r="D17" s="5" t="s">
        <v>247</v>
      </c>
      <c r="E17" s="5" t="s">
        <v>51</v>
      </c>
      <c r="F17" s="5"/>
      <c r="G17" s="5" t="s">
        <v>426</v>
      </c>
    </row>
  </sheetData>
  <mergeCells count="3">
    <mergeCell ref="A2:C2"/>
    <mergeCell ref="A3:B3"/>
    <mergeCell ref="B4:G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2E07-4E23-4031-9933-85B157475051}">
  <sheetPr codeName="Sheet20"/>
  <dimension ref="A2:G26"/>
  <sheetViews>
    <sheetView showGridLines="0" workbookViewId="0"/>
  </sheetViews>
  <sheetFormatPr defaultRowHeight="15" x14ac:dyDescent="0.25"/>
  <cols>
    <col min="1" max="2" width="9.140625" style="11"/>
    <col min="3" max="3" width="26.7109375" style="11" bestFit="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17</v>
      </c>
    </row>
    <row r="3" spans="1:7" ht="19.5" x14ac:dyDescent="0.3">
      <c r="A3" s="26" t="s">
        <v>351</v>
      </c>
      <c r="B3" s="26"/>
    </row>
    <row r="4" spans="1:7" x14ac:dyDescent="0.25">
      <c r="B4" s="28" t="s">
        <v>428</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429</v>
      </c>
      <c r="D11" s="5" t="s">
        <v>33</v>
      </c>
      <c r="E11" s="5" t="s">
        <v>34</v>
      </c>
      <c r="F11" s="5"/>
      <c r="G11" s="5" t="s">
        <v>144</v>
      </c>
    </row>
    <row r="12" spans="1:7" x14ac:dyDescent="0.25">
      <c r="C12" s="5" t="s">
        <v>430</v>
      </c>
      <c r="D12" s="5" t="s">
        <v>33</v>
      </c>
      <c r="E12" s="5" t="s">
        <v>34</v>
      </c>
      <c r="F12" s="5"/>
      <c r="G12" s="13" t="s">
        <v>389</v>
      </c>
    </row>
    <row r="13" spans="1:7" x14ac:dyDescent="0.25">
      <c r="C13" s="5" t="s">
        <v>47</v>
      </c>
      <c r="D13" s="5" t="s">
        <v>37</v>
      </c>
      <c r="E13" s="5" t="s">
        <v>34</v>
      </c>
      <c r="F13" s="5"/>
      <c r="G13" s="5"/>
    </row>
    <row r="14" spans="1:7" x14ac:dyDescent="0.25">
      <c r="C14" s="5" t="s">
        <v>88</v>
      </c>
      <c r="D14" s="5" t="s">
        <v>37</v>
      </c>
      <c r="E14" s="5" t="s">
        <v>34</v>
      </c>
      <c r="F14" s="5"/>
      <c r="G14" s="5" t="s">
        <v>431</v>
      </c>
    </row>
    <row r="15" spans="1:7" x14ac:dyDescent="0.25">
      <c r="C15" s="5" t="s">
        <v>48</v>
      </c>
      <c r="D15" s="5" t="s">
        <v>33</v>
      </c>
      <c r="E15" s="5" t="s">
        <v>34</v>
      </c>
      <c r="F15" s="5"/>
      <c r="G15" s="5"/>
    </row>
    <row r="16" spans="1:7" x14ac:dyDescent="0.25">
      <c r="C16" s="5" t="s">
        <v>137</v>
      </c>
      <c r="D16" s="5" t="s">
        <v>33</v>
      </c>
      <c r="E16" s="5" t="s">
        <v>34</v>
      </c>
      <c r="F16" s="5"/>
      <c r="G16" s="5"/>
    </row>
    <row r="17" spans="3:7" x14ac:dyDescent="0.25">
      <c r="C17" s="5" t="s">
        <v>94</v>
      </c>
      <c r="D17" s="5" t="s">
        <v>37</v>
      </c>
      <c r="E17" s="5" t="s">
        <v>34</v>
      </c>
      <c r="F17" s="5"/>
      <c r="G17" s="5"/>
    </row>
    <row r="18" spans="3:7" x14ac:dyDescent="0.25">
      <c r="C18" s="5" t="s">
        <v>89</v>
      </c>
      <c r="D18" s="5" t="s">
        <v>33</v>
      </c>
      <c r="E18" s="5" t="s">
        <v>34</v>
      </c>
      <c r="F18" s="5"/>
      <c r="G18" s="5" t="s">
        <v>145</v>
      </c>
    </row>
    <row r="19" spans="3:7" x14ac:dyDescent="0.25">
      <c r="C19" s="5" t="s">
        <v>53</v>
      </c>
      <c r="D19" s="5" t="s">
        <v>33</v>
      </c>
      <c r="E19" s="5" t="s">
        <v>34</v>
      </c>
      <c r="F19" s="5"/>
      <c r="G19" s="5" t="s">
        <v>146</v>
      </c>
    </row>
    <row r="20" spans="3:7" x14ac:dyDescent="0.25">
      <c r="C20" s="5" t="s">
        <v>138</v>
      </c>
      <c r="D20" s="5" t="s">
        <v>33</v>
      </c>
      <c r="E20" s="5" t="s">
        <v>51</v>
      </c>
      <c r="F20" s="5"/>
      <c r="G20" s="5" t="s">
        <v>147</v>
      </c>
    </row>
    <row r="21" spans="3:7" x14ac:dyDescent="0.25">
      <c r="C21" s="5" t="s">
        <v>139</v>
      </c>
      <c r="D21" s="5" t="s">
        <v>33</v>
      </c>
      <c r="E21" s="5" t="s">
        <v>51</v>
      </c>
      <c r="F21" s="5"/>
      <c r="G21" s="5" t="s">
        <v>148</v>
      </c>
    </row>
    <row r="22" spans="3:7" x14ac:dyDescent="0.25">
      <c r="C22" s="5" t="s">
        <v>140</v>
      </c>
      <c r="D22" s="5" t="s">
        <v>33</v>
      </c>
      <c r="E22" s="5" t="s">
        <v>51</v>
      </c>
      <c r="F22" s="5"/>
      <c r="G22" s="5" t="s">
        <v>433</v>
      </c>
    </row>
    <row r="23" spans="3:7" x14ac:dyDescent="0.25">
      <c r="C23" s="5" t="s">
        <v>141</v>
      </c>
      <c r="D23" s="5" t="s">
        <v>432</v>
      </c>
      <c r="E23" s="5" t="s">
        <v>51</v>
      </c>
      <c r="F23" s="5"/>
      <c r="G23" s="5" t="s">
        <v>434</v>
      </c>
    </row>
    <row r="24" spans="3:7" x14ac:dyDescent="0.25">
      <c r="C24" s="5" t="s">
        <v>142</v>
      </c>
      <c r="D24" s="5" t="s">
        <v>432</v>
      </c>
      <c r="E24" s="5" t="s">
        <v>51</v>
      </c>
      <c r="F24" s="5"/>
      <c r="G24" s="5"/>
    </row>
    <row r="25" spans="3:7" x14ac:dyDescent="0.25">
      <c r="C25" s="5" t="s">
        <v>102</v>
      </c>
      <c r="D25" s="5" t="s">
        <v>432</v>
      </c>
      <c r="E25" s="5" t="s">
        <v>51</v>
      </c>
      <c r="F25" s="5"/>
      <c r="G25" s="5"/>
    </row>
    <row r="26" spans="3:7" x14ac:dyDescent="0.25">
      <c r="C26" s="5" t="s">
        <v>143</v>
      </c>
      <c r="D26" s="5" t="s">
        <v>432</v>
      </c>
      <c r="E26" s="5" t="s">
        <v>51</v>
      </c>
      <c r="F26" s="5"/>
      <c r="G26" s="5"/>
    </row>
  </sheetData>
  <mergeCells count="3">
    <mergeCell ref="A2:C2"/>
    <mergeCell ref="A3:B3"/>
    <mergeCell ref="B4:G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8052-9316-4756-BB72-361E0F389CE1}">
  <sheetPr codeName="Sheet21"/>
  <dimension ref="A2:G19"/>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18</v>
      </c>
    </row>
    <row r="3" spans="1:7" ht="19.5" x14ac:dyDescent="0.3">
      <c r="A3" s="26" t="s">
        <v>351</v>
      </c>
      <c r="B3" s="26"/>
    </row>
    <row r="4" spans="1:7" x14ac:dyDescent="0.25">
      <c r="B4" s="28" t="s">
        <v>341</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t="s">
        <v>34</v>
      </c>
      <c r="F11" s="5"/>
      <c r="G11" s="5" t="s">
        <v>374</v>
      </c>
    </row>
    <row r="12" spans="1:7" x14ac:dyDescent="0.25">
      <c r="C12" s="5" t="s">
        <v>215</v>
      </c>
      <c r="D12" s="5" t="s">
        <v>247</v>
      </c>
      <c r="E12" s="5" t="s">
        <v>51</v>
      </c>
      <c r="F12" s="5"/>
      <c r="G12" s="5" t="s">
        <v>435</v>
      </c>
    </row>
    <row r="13" spans="1:7" x14ac:dyDescent="0.25">
      <c r="C13" s="5" t="s">
        <v>264</v>
      </c>
      <c r="D13" s="5" t="s">
        <v>247</v>
      </c>
      <c r="E13" s="5" t="s">
        <v>51</v>
      </c>
      <c r="F13" s="5"/>
      <c r="G13" s="13" t="s">
        <v>389</v>
      </c>
    </row>
    <row r="14" spans="1:7" x14ac:dyDescent="0.25">
      <c r="C14" s="5" t="s">
        <v>262</v>
      </c>
      <c r="D14" s="5" t="s">
        <v>247</v>
      </c>
      <c r="E14" s="5" t="s">
        <v>34</v>
      </c>
      <c r="F14" s="5"/>
      <c r="G14" s="5"/>
    </row>
    <row r="15" spans="1:7" x14ac:dyDescent="0.25">
      <c r="C15" s="5" t="s">
        <v>320</v>
      </c>
      <c r="D15" s="5" t="s">
        <v>271</v>
      </c>
      <c r="E15" s="5" t="s">
        <v>34</v>
      </c>
      <c r="F15" s="5"/>
      <c r="G15" s="5" t="s">
        <v>436</v>
      </c>
    </row>
    <row r="16" spans="1:7" x14ac:dyDescent="0.25">
      <c r="C16" s="5" t="s">
        <v>321</v>
      </c>
      <c r="D16" s="5" t="s">
        <v>326</v>
      </c>
      <c r="E16" s="5" t="s">
        <v>51</v>
      </c>
      <c r="F16" s="5"/>
      <c r="G16" s="5" t="s">
        <v>437</v>
      </c>
    </row>
    <row r="17" spans="3:7" x14ac:dyDescent="0.25">
      <c r="C17" s="5" t="s">
        <v>322</v>
      </c>
      <c r="D17" s="5" t="s">
        <v>248</v>
      </c>
      <c r="E17" s="5" t="s">
        <v>51</v>
      </c>
      <c r="F17" s="5"/>
      <c r="G17" s="5" t="s">
        <v>437</v>
      </c>
    </row>
    <row r="18" spans="3:7" x14ac:dyDescent="0.25">
      <c r="C18" s="5" t="s">
        <v>323</v>
      </c>
      <c r="D18" s="5" t="s">
        <v>325</v>
      </c>
      <c r="E18" s="5" t="s">
        <v>51</v>
      </c>
      <c r="F18" s="5"/>
      <c r="G18" s="5" t="s">
        <v>438</v>
      </c>
    </row>
    <row r="19" spans="3:7" x14ac:dyDescent="0.25">
      <c r="C19" s="5" t="s">
        <v>324</v>
      </c>
      <c r="D19" s="5" t="s">
        <v>325</v>
      </c>
      <c r="E19" s="5" t="s">
        <v>51</v>
      </c>
      <c r="F19" s="5"/>
      <c r="G19" s="5" t="s">
        <v>439</v>
      </c>
    </row>
  </sheetData>
  <mergeCells count="3">
    <mergeCell ref="A2:C2"/>
    <mergeCell ref="A3:B3"/>
    <mergeCell ref="B4:G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35C4-5F07-4EEE-8E1B-3C6D66FD2D1B}">
  <sheetPr codeName="Sheet22"/>
  <dimension ref="A2:G26"/>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63.42578125" style="11" bestFit="1" customWidth="1"/>
    <col min="8" max="16384" width="9.140625" style="11"/>
  </cols>
  <sheetData>
    <row r="2" spans="1:7" ht="26.25" x14ac:dyDescent="0.4">
      <c r="A2" s="25" t="s">
        <v>352</v>
      </c>
      <c r="B2" s="25"/>
      <c r="C2" s="25"/>
      <c r="D2" s="14" t="s">
        <v>19</v>
      </c>
    </row>
    <row r="3" spans="1:7" ht="19.5" x14ac:dyDescent="0.3">
      <c r="A3" s="26" t="s">
        <v>351</v>
      </c>
      <c r="B3" s="26"/>
    </row>
    <row r="4" spans="1:7" x14ac:dyDescent="0.25">
      <c r="B4" s="28" t="s">
        <v>441</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429</v>
      </c>
      <c r="D11" s="5" t="s">
        <v>33</v>
      </c>
      <c r="E11" s="5" t="s">
        <v>34</v>
      </c>
      <c r="F11" s="5"/>
      <c r="G11" s="13" t="s">
        <v>374</v>
      </c>
    </row>
    <row r="12" spans="1:7" x14ac:dyDescent="0.25">
      <c r="C12" s="5" t="s">
        <v>430</v>
      </c>
      <c r="D12" s="5" t="s">
        <v>33</v>
      </c>
      <c r="E12" s="5" t="s">
        <v>34</v>
      </c>
      <c r="F12" s="5"/>
      <c r="G12" s="13" t="s">
        <v>389</v>
      </c>
    </row>
    <row r="13" spans="1:7" x14ac:dyDescent="0.25">
      <c r="C13" s="5" t="s">
        <v>47</v>
      </c>
      <c r="D13" s="5" t="s">
        <v>33</v>
      </c>
      <c r="E13" s="5" t="s">
        <v>34</v>
      </c>
      <c r="F13" s="5"/>
      <c r="G13" s="13" t="s">
        <v>160</v>
      </c>
    </row>
    <row r="14" spans="1:7" x14ac:dyDescent="0.25">
      <c r="C14" s="5" t="s">
        <v>88</v>
      </c>
      <c r="D14" s="5" t="s">
        <v>37</v>
      </c>
      <c r="E14" s="5" t="s">
        <v>34</v>
      </c>
      <c r="F14" s="5"/>
      <c r="G14" s="13" t="s">
        <v>161</v>
      </c>
    </row>
    <row r="15" spans="1:7" x14ac:dyDescent="0.25">
      <c r="C15" s="5" t="s">
        <v>48</v>
      </c>
      <c r="D15" s="5" t="s">
        <v>33</v>
      </c>
      <c r="E15" s="5" t="s">
        <v>34</v>
      </c>
      <c r="F15" s="5"/>
      <c r="G15" s="13"/>
    </row>
    <row r="16" spans="1:7" x14ac:dyDescent="0.25">
      <c r="C16" s="5" t="s">
        <v>94</v>
      </c>
      <c r="D16" s="5" t="s">
        <v>37</v>
      </c>
      <c r="E16" s="5" t="s">
        <v>34</v>
      </c>
      <c r="F16" s="5"/>
      <c r="G16" s="13"/>
    </row>
    <row r="17" spans="3:7" x14ac:dyDescent="0.25">
      <c r="C17" s="5" t="s">
        <v>89</v>
      </c>
      <c r="D17" s="5" t="s">
        <v>33</v>
      </c>
      <c r="E17" s="5" t="s">
        <v>51</v>
      </c>
      <c r="F17" s="5"/>
      <c r="G17" s="13" t="s">
        <v>154</v>
      </c>
    </row>
    <row r="18" spans="3:7" x14ac:dyDescent="0.25">
      <c r="C18" s="5" t="s">
        <v>53</v>
      </c>
      <c r="D18" s="5" t="s">
        <v>33</v>
      </c>
      <c r="E18" s="5" t="s">
        <v>51</v>
      </c>
      <c r="F18" s="5"/>
      <c r="G18" s="13" t="s">
        <v>155</v>
      </c>
    </row>
    <row r="19" spans="3:7" x14ac:dyDescent="0.25">
      <c r="C19" s="5" t="s">
        <v>138</v>
      </c>
      <c r="D19" s="5" t="s">
        <v>33</v>
      </c>
      <c r="E19" s="5" t="s">
        <v>51</v>
      </c>
      <c r="F19" s="5"/>
      <c r="G19" s="13" t="s">
        <v>156</v>
      </c>
    </row>
    <row r="20" spans="3:7" x14ac:dyDescent="0.25">
      <c r="C20" s="5" t="s">
        <v>149</v>
      </c>
      <c r="D20" s="5" t="s">
        <v>33</v>
      </c>
      <c r="E20" s="5" t="s">
        <v>51</v>
      </c>
      <c r="F20" s="5"/>
      <c r="G20" s="13" t="s">
        <v>157</v>
      </c>
    </row>
    <row r="21" spans="3:7" x14ac:dyDescent="0.25">
      <c r="C21" s="5" t="s">
        <v>150</v>
      </c>
      <c r="D21" s="5" t="s">
        <v>78</v>
      </c>
      <c r="E21" s="5" t="s">
        <v>51</v>
      </c>
      <c r="F21" s="5"/>
      <c r="G21" s="13" t="s">
        <v>162</v>
      </c>
    </row>
    <row r="22" spans="3:7" x14ac:dyDescent="0.25">
      <c r="C22" s="5" t="s">
        <v>151</v>
      </c>
      <c r="D22" s="5" t="s">
        <v>33</v>
      </c>
      <c r="E22" s="5" t="s">
        <v>51</v>
      </c>
      <c r="F22" s="5"/>
      <c r="G22" s="13" t="s">
        <v>158</v>
      </c>
    </row>
    <row r="23" spans="3:7" x14ac:dyDescent="0.25">
      <c r="C23" s="5" t="s">
        <v>152</v>
      </c>
      <c r="D23" s="5" t="s">
        <v>33</v>
      </c>
      <c r="E23" s="5" t="s">
        <v>51</v>
      </c>
      <c r="F23" s="5"/>
      <c r="G23" s="13" t="s">
        <v>159</v>
      </c>
    </row>
    <row r="24" spans="3:7" x14ac:dyDescent="0.25">
      <c r="C24" s="5" t="s">
        <v>153</v>
      </c>
      <c r="D24" s="5" t="s">
        <v>78</v>
      </c>
      <c r="E24" s="5" t="s">
        <v>51</v>
      </c>
      <c r="F24" s="5"/>
      <c r="G24" s="13" t="s">
        <v>163</v>
      </c>
    </row>
    <row r="25" spans="3:7" x14ac:dyDescent="0.25">
      <c r="C25" s="5" t="s">
        <v>93</v>
      </c>
      <c r="D25" s="5" t="s">
        <v>78</v>
      </c>
      <c r="E25" s="5" t="s">
        <v>51</v>
      </c>
      <c r="F25" s="5"/>
      <c r="G25" s="13" t="s">
        <v>440</v>
      </c>
    </row>
    <row r="26" spans="3:7" x14ac:dyDescent="0.25">
      <c r="C26" s="5" t="s">
        <v>102</v>
      </c>
      <c r="D26" s="5" t="s">
        <v>78</v>
      </c>
      <c r="E26" s="5" t="s">
        <v>51</v>
      </c>
      <c r="F26" s="5"/>
      <c r="G26" s="13"/>
    </row>
  </sheetData>
  <mergeCells count="3">
    <mergeCell ref="A2:C2"/>
    <mergeCell ref="A3:B3"/>
    <mergeCell ref="B4:G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D694-456E-4830-87AB-3F48BD094F2B}">
  <sheetPr codeName="Sheet23"/>
  <dimension ref="A2:G20"/>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20</v>
      </c>
    </row>
    <row r="3" spans="1:7" ht="19.5" x14ac:dyDescent="0.3">
      <c r="A3" s="26" t="s">
        <v>351</v>
      </c>
      <c r="B3" s="26"/>
    </row>
    <row r="4" spans="1:7" x14ac:dyDescent="0.25">
      <c r="B4" s="28" t="s">
        <v>340</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c r="F11" s="5"/>
      <c r="G11" s="13" t="s">
        <v>374</v>
      </c>
    </row>
    <row r="12" spans="1:7" x14ac:dyDescent="0.25">
      <c r="C12" s="5" t="s">
        <v>215</v>
      </c>
      <c r="D12" s="5" t="s">
        <v>247</v>
      </c>
      <c r="E12" s="5"/>
      <c r="F12" s="5"/>
      <c r="G12" s="5" t="s">
        <v>435</v>
      </c>
    </row>
    <row r="13" spans="1:7" x14ac:dyDescent="0.25">
      <c r="C13" s="5" t="s">
        <v>320</v>
      </c>
      <c r="D13" s="5" t="s">
        <v>271</v>
      </c>
      <c r="E13" s="5"/>
      <c r="F13" s="5"/>
      <c r="G13" s="13" t="s">
        <v>442</v>
      </c>
    </row>
    <row r="14" spans="1:7" x14ac:dyDescent="0.25">
      <c r="C14" s="5" t="s">
        <v>327</v>
      </c>
      <c r="D14" s="5" t="s">
        <v>247</v>
      </c>
      <c r="E14" s="5"/>
      <c r="F14" s="5"/>
      <c r="G14" s="5"/>
    </row>
    <row r="15" spans="1:7" x14ac:dyDescent="0.25">
      <c r="C15" s="5" t="s">
        <v>328</v>
      </c>
      <c r="D15" s="5" t="s">
        <v>247</v>
      </c>
      <c r="E15" s="5"/>
      <c r="F15" s="5"/>
      <c r="G15" s="5"/>
    </row>
    <row r="16" spans="1:7" x14ac:dyDescent="0.25">
      <c r="C16" s="5" t="s">
        <v>329</v>
      </c>
      <c r="D16" s="5" t="s">
        <v>248</v>
      </c>
      <c r="E16" s="5"/>
      <c r="F16" s="5"/>
      <c r="G16" s="5"/>
    </row>
    <row r="17" spans="3:7" x14ac:dyDescent="0.25">
      <c r="C17" s="5" t="s">
        <v>330</v>
      </c>
      <c r="D17" s="5" t="s">
        <v>247</v>
      </c>
      <c r="E17" s="5"/>
      <c r="F17" s="5"/>
      <c r="G17" s="5"/>
    </row>
    <row r="18" spans="3:7" x14ac:dyDescent="0.25">
      <c r="C18" s="5" t="s">
        <v>331</v>
      </c>
      <c r="D18" s="5" t="s">
        <v>334</v>
      </c>
      <c r="E18" s="5"/>
      <c r="F18" s="5"/>
      <c r="G18" s="5"/>
    </row>
    <row r="19" spans="3:7" x14ac:dyDescent="0.25">
      <c r="C19" s="5" t="s">
        <v>332</v>
      </c>
      <c r="D19" s="5" t="s">
        <v>325</v>
      </c>
      <c r="E19" s="5"/>
      <c r="F19" s="5"/>
      <c r="G19" s="5"/>
    </row>
    <row r="20" spans="3:7" x14ac:dyDescent="0.25">
      <c r="C20" s="5" t="s">
        <v>333</v>
      </c>
      <c r="D20" s="5" t="s">
        <v>311</v>
      </c>
      <c r="E20" s="5"/>
      <c r="F20" s="5"/>
      <c r="G20" s="5"/>
    </row>
  </sheetData>
  <mergeCells count="3">
    <mergeCell ref="A2:C2"/>
    <mergeCell ref="A3:B3"/>
    <mergeCell ref="B4:G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1EB6-25F0-459B-9462-90DB9CE002FD}">
  <sheetPr codeName="Sheet24"/>
  <dimension ref="A2:G21"/>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21</v>
      </c>
    </row>
    <row r="3" spans="1:7" ht="19.5" x14ac:dyDescent="0.3">
      <c r="A3" s="26" t="s">
        <v>351</v>
      </c>
      <c r="B3" s="26"/>
    </row>
    <row r="4" spans="1:7" x14ac:dyDescent="0.25">
      <c r="B4" s="28" t="s">
        <v>421</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35</v>
      </c>
      <c r="D11" s="5" t="s">
        <v>33</v>
      </c>
      <c r="E11" s="5" t="s">
        <v>34</v>
      </c>
      <c r="F11" s="5"/>
      <c r="G11" s="13" t="s">
        <v>174</v>
      </c>
    </row>
    <row r="12" spans="1:7" x14ac:dyDescent="0.25">
      <c r="C12" s="5" t="s">
        <v>164</v>
      </c>
      <c r="D12" s="5" t="s">
        <v>33</v>
      </c>
      <c r="E12" s="5" t="s">
        <v>34</v>
      </c>
      <c r="F12" s="5"/>
      <c r="G12" s="13" t="s">
        <v>173</v>
      </c>
    </row>
    <row r="13" spans="1:7" x14ac:dyDescent="0.25">
      <c r="C13" s="5" t="s">
        <v>48</v>
      </c>
      <c r="D13" s="5" t="s">
        <v>33</v>
      </c>
      <c r="E13" s="5" t="s">
        <v>34</v>
      </c>
      <c r="F13" s="5"/>
      <c r="G13" s="5"/>
    </row>
    <row r="14" spans="1:7" x14ac:dyDescent="0.25">
      <c r="C14" s="5" t="s">
        <v>88</v>
      </c>
      <c r="D14" s="5" t="s">
        <v>37</v>
      </c>
      <c r="E14" s="5" t="s">
        <v>34</v>
      </c>
      <c r="F14" s="5"/>
      <c r="G14" s="13" t="s">
        <v>172</v>
      </c>
    </row>
    <row r="15" spans="1:7" x14ac:dyDescent="0.25">
      <c r="C15" s="5" t="s">
        <v>94</v>
      </c>
      <c r="D15" s="5" t="s">
        <v>37</v>
      </c>
      <c r="E15" s="5" t="s">
        <v>34</v>
      </c>
      <c r="F15" s="5"/>
      <c r="G15" s="5"/>
    </row>
    <row r="16" spans="1:7" x14ac:dyDescent="0.25">
      <c r="C16" s="5" t="s">
        <v>89</v>
      </c>
      <c r="D16" s="5" t="s">
        <v>33</v>
      </c>
      <c r="E16" s="5" t="s">
        <v>51</v>
      </c>
      <c r="F16" s="5"/>
      <c r="G16" s="13" t="s">
        <v>171</v>
      </c>
    </row>
    <row r="17" spans="3:7" x14ac:dyDescent="0.25">
      <c r="C17" s="5" t="s">
        <v>165</v>
      </c>
      <c r="D17" s="5" t="s">
        <v>40</v>
      </c>
      <c r="E17" s="5" t="s">
        <v>34</v>
      </c>
      <c r="F17" s="5"/>
      <c r="G17" s="5"/>
    </row>
    <row r="18" spans="3:7" x14ac:dyDescent="0.25">
      <c r="C18" s="5" t="s">
        <v>53</v>
      </c>
      <c r="D18" s="5" t="s">
        <v>33</v>
      </c>
      <c r="E18" s="5" t="s">
        <v>51</v>
      </c>
      <c r="F18" s="5"/>
      <c r="G18" s="13" t="s">
        <v>170</v>
      </c>
    </row>
    <row r="19" spans="3:7" x14ac:dyDescent="0.25">
      <c r="C19" s="5" t="s">
        <v>166</v>
      </c>
      <c r="D19" s="5" t="s">
        <v>78</v>
      </c>
      <c r="E19" s="5" t="s">
        <v>51</v>
      </c>
      <c r="F19" s="5"/>
      <c r="G19" s="5"/>
    </row>
    <row r="20" spans="3:7" x14ac:dyDescent="0.25">
      <c r="C20" s="5" t="s">
        <v>167</v>
      </c>
      <c r="D20" s="5" t="s">
        <v>78</v>
      </c>
      <c r="E20" s="5" t="s">
        <v>51</v>
      </c>
      <c r="F20" s="5"/>
      <c r="G20" s="5"/>
    </row>
    <row r="21" spans="3:7" x14ac:dyDescent="0.25">
      <c r="C21" s="5" t="s">
        <v>168</v>
      </c>
      <c r="D21" s="5" t="s">
        <v>78</v>
      </c>
      <c r="E21" s="5" t="s">
        <v>51</v>
      </c>
      <c r="F21" s="5"/>
      <c r="G21" s="13" t="s">
        <v>169</v>
      </c>
    </row>
  </sheetData>
  <mergeCells count="3">
    <mergeCell ref="A2:C2"/>
    <mergeCell ref="A3:B3"/>
    <mergeCell ref="B4:G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D09A-2A18-4C0C-826E-F4D9A624BB58}">
  <sheetPr codeName="Sheet25"/>
  <dimension ref="A2:G23"/>
  <sheetViews>
    <sheetView showGridLines="0" workbookViewId="0"/>
  </sheetViews>
  <sheetFormatPr defaultRowHeight="15" x14ac:dyDescent="0.25"/>
  <cols>
    <col min="1" max="2" width="9.140625" style="11"/>
    <col min="3" max="3" width="31.85546875" style="11" bestFit="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22</v>
      </c>
    </row>
    <row r="3" spans="1:7" ht="19.5" x14ac:dyDescent="0.3">
      <c r="A3" s="26" t="s">
        <v>351</v>
      </c>
      <c r="B3" s="26"/>
    </row>
    <row r="4" spans="1:7" x14ac:dyDescent="0.25">
      <c r="B4" s="28" t="s">
        <v>443</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175</v>
      </c>
      <c r="D11" s="5" t="s">
        <v>33</v>
      </c>
      <c r="E11" s="5" t="s">
        <v>34</v>
      </c>
      <c r="F11" s="5"/>
      <c r="G11" s="13" t="s">
        <v>447</v>
      </c>
    </row>
    <row r="12" spans="1:7" ht="45" x14ac:dyDescent="0.25">
      <c r="C12" s="5" t="s">
        <v>176</v>
      </c>
      <c r="D12" s="5" t="s">
        <v>78</v>
      </c>
      <c r="E12" s="5" t="s">
        <v>34</v>
      </c>
      <c r="F12" s="5"/>
      <c r="G12" s="13" t="s">
        <v>446</v>
      </c>
    </row>
    <row r="13" spans="1:7" x14ac:dyDescent="0.25">
      <c r="C13" s="5" t="s">
        <v>177</v>
      </c>
      <c r="D13" s="5" t="s">
        <v>78</v>
      </c>
      <c r="E13" s="5" t="s">
        <v>34</v>
      </c>
      <c r="F13" s="5"/>
      <c r="G13" s="13" t="s">
        <v>445</v>
      </c>
    </row>
    <row r="14" spans="1:7" x14ac:dyDescent="0.25">
      <c r="C14" s="5" t="s">
        <v>186</v>
      </c>
      <c r="D14" s="5" t="s">
        <v>78</v>
      </c>
      <c r="E14" s="5" t="s">
        <v>51</v>
      </c>
      <c r="F14" s="5"/>
      <c r="G14" s="13" t="s">
        <v>444</v>
      </c>
    </row>
    <row r="15" spans="1:7" x14ac:dyDescent="0.25">
      <c r="C15" s="5" t="s">
        <v>178</v>
      </c>
      <c r="D15" s="5" t="s">
        <v>78</v>
      </c>
      <c r="E15" s="5" t="s">
        <v>51</v>
      </c>
      <c r="F15" s="5"/>
      <c r="G15" s="13" t="s">
        <v>448</v>
      </c>
    </row>
    <row r="16" spans="1:7" x14ac:dyDescent="0.25">
      <c r="C16" s="5" t="s">
        <v>179</v>
      </c>
      <c r="D16" s="5" t="s">
        <v>78</v>
      </c>
      <c r="E16" s="5" t="s">
        <v>51</v>
      </c>
      <c r="F16" s="5"/>
      <c r="G16" s="13" t="s">
        <v>449</v>
      </c>
    </row>
    <row r="17" spans="3:7" x14ac:dyDescent="0.25">
      <c r="C17" s="5" t="s">
        <v>180</v>
      </c>
      <c r="D17" s="5" t="s">
        <v>78</v>
      </c>
      <c r="E17" s="5" t="s">
        <v>51</v>
      </c>
      <c r="F17" s="5"/>
      <c r="G17" s="13" t="s">
        <v>450</v>
      </c>
    </row>
    <row r="18" spans="3:7" x14ac:dyDescent="0.25">
      <c r="C18" s="5" t="s">
        <v>181</v>
      </c>
      <c r="D18" s="5" t="s">
        <v>78</v>
      </c>
      <c r="E18" s="5" t="s">
        <v>51</v>
      </c>
      <c r="F18" s="5"/>
      <c r="G18" s="13" t="s">
        <v>451</v>
      </c>
    </row>
    <row r="19" spans="3:7" ht="30" x14ac:dyDescent="0.25">
      <c r="C19" s="5" t="s">
        <v>182</v>
      </c>
      <c r="D19" s="5" t="s">
        <v>78</v>
      </c>
      <c r="E19" s="5" t="s">
        <v>51</v>
      </c>
      <c r="F19" s="5"/>
      <c r="G19" s="13" t="s">
        <v>452</v>
      </c>
    </row>
    <row r="20" spans="3:7" x14ac:dyDescent="0.25">
      <c r="C20" s="5" t="s">
        <v>183</v>
      </c>
      <c r="D20" s="5" t="s">
        <v>78</v>
      </c>
      <c r="E20" s="5" t="s">
        <v>51</v>
      </c>
      <c r="F20" s="5"/>
      <c r="G20" s="13" t="s">
        <v>453</v>
      </c>
    </row>
    <row r="21" spans="3:7" x14ac:dyDescent="0.25">
      <c r="C21" s="5" t="s">
        <v>184</v>
      </c>
      <c r="D21" s="5" t="s">
        <v>33</v>
      </c>
      <c r="E21" s="5" t="s">
        <v>51</v>
      </c>
      <c r="F21" s="5"/>
      <c r="G21" s="13" t="s">
        <v>454</v>
      </c>
    </row>
    <row r="22" spans="3:7" ht="30" x14ac:dyDescent="0.25">
      <c r="C22" s="5" t="s">
        <v>185</v>
      </c>
      <c r="D22" s="5" t="s">
        <v>78</v>
      </c>
      <c r="E22" s="5" t="s">
        <v>51</v>
      </c>
      <c r="F22" s="5"/>
      <c r="G22" s="13" t="s">
        <v>455</v>
      </c>
    </row>
    <row r="23" spans="3:7" x14ac:dyDescent="0.25">
      <c r="C23" s="5" t="s">
        <v>187</v>
      </c>
      <c r="D23" s="5" t="s">
        <v>78</v>
      </c>
      <c r="E23" s="5" t="s">
        <v>51</v>
      </c>
      <c r="F23" s="5"/>
      <c r="G23" s="13" t="s">
        <v>456</v>
      </c>
    </row>
  </sheetData>
  <mergeCells count="3">
    <mergeCell ref="A2:C2"/>
    <mergeCell ref="A3:B3"/>
    <mergeCell ref="B4:G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478F-E0FB-490F-8BE7-827B630BFEAF}">
  <sheetPr codeName="Sheet26"/>
  <dimension ref="A2:G36"/>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23</v>
      </c>
    </row>
    <row r="3" spans="1:7" ht="19.5" x14ac:dyDescent="0.3">
      <c r="A3" s="26" t="s">
        <v>351</v>
      </c>
      <c r="B3" s="26"/>
    </row>
    <row r="4" spans="1:7" x14ac:dyDescent="0.25">
      <c r="B4" s="28" t="s">
        <v>457</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175</v>
      </c>
      <c r="D11" s="5" t="s">
        <v>33</v>
      </c>
      <c r="E11" s="5" t="s">
        <v>34</v>
      </c>
      <c r="F11" s="5"/>
      <c r="G11" s="5"/>
    </row>
    <row r="12" spans="1:7" x14ac:dyDescent="0.25">
      <c r="C12" s="5" t="s">
        <v>35</v>
      </c>
      <c r="D12" s="5" t="s">
        <v>33</v>
      </c>
      <c r="E12" s="5" t="s">
        <v>34</v>
      </c>
      <c r="F12" s="5"/>
      <c r="G12" s="5"/>
    </row>
    <row r="13" spans="1:7" x14ac:dyDescent="0.25">
      <c r="C13" s="5" t="s">
        <v>32</v>
      </c>
      <c r="D13" s="5" t="s">
        <v>33</v>
      </c>
      <c r="E13" s="5" t="s">
        <v>34</v>
      </c>
      <c r="F13" s="5"/>
      <c r="G13" s="5"/>
    </row>
    <row r="14" spans="1:7" x14ac:dyDescent="0.25">
      <c r="C14" s="5" t="s">
        <v>188</v>
      </c>
      <c r="D14" s="5" t="s">
        <v>37</v>
      </c>
      <c r="E14" s="5" t="s">
        <v>51</v>
      </c>
      <c r="F14" s="5"/>
      <c r="G14" s="5"/>
    </row>
    <row r="15" spans="1:7" x14ac:dyDescent="0.25">
      <c r="C15" s="5" t="s">
        <v>189</v>
      </c>
      <c r="D15" s="5" t="s">
        <v>37</v>
      </c>
      <c r="E15" s="5" t="s">
        <v>51</v>
      </c>
      <c r="F15" s="5"/>
      <c r="G15" s="5"/>
    </row>
    <row r="16" spans="1:7" x14ac:dyDescent="0.25">
      <c r="C16" s="5" t="s">
        <v>190</v>
      </c>
      <c r="D16" s="5" t="s">
        <v>37</v>
      </c>
      <c r="E16" s="5" t="s">
        <v>34</v>
      </c>
      <c r="F16" s="5"/>
      <c r="G16" s="5"/>
    </row>
    <row r="17" spans="3:7" x14ac:dyDescent="0.25">
      <c r="C17" s="5" t="s">
        <v>191</v>
      </c>
      <c r="D17" s="5" t="s">
        <v>78</v>
      </c>
      <c r="E17" s="5" t="s">
        <v>51</v>
      </c>
      <c r="F17" s="5"/>
      <c r="G17" s="5"/>
    </row>
    <row r="18" spans="3:7" x14ac:dyDescent="0.25">
      <c r="C18" s="5" t="s">
        <v>205</v>
      </c>
      <c r="D18" s="5" t="s">
        <v>78</v>
      </c>
      <c r="E18" s="5" t="s">
        <v>51</v>
      </c>
      <c r="F18" s="5"/>
      <c r="G18" s="5"/>
    </row>
    <row r="19" spans="3:7" x14ac:dyDescent="0.25">
      <c r="C19" s="5" t="s">
        <v>192</v>
      </c>
      <c r="D19" s="5" t="s">
        <v>78</v>
      </c>
      <c r="E19" s="5" t="s">
        <v>51</v>
      </c>
      <c r="F19" s="5"/>
      <c r="G19" s="5"/>
    </row>
    <row r="20" spans="3:7" x14ac:dyDescent="0.25">
      <c r="C20" s="5" t="s">
        <v>93</v>
      </c>
      <c r="D20" s="5" t="s">
        <v>78</v>
      </c>
      <c r="E20" s="5" t="s">
        <v>51</v>
      </c>
      <c r="F20" s="5"/>
      <c r="G20" s="5"/>
    </row>
    <row r="21" spans="3:7" x14ac:dyDescent="0.25">
      <c r="C21" s="5" t="s">
        <v>193</v>
      </c>
      <c r="D21" s="5" t="s">
        <v>78</v>
      </c>
      <c r="E21" s="5" t="s">
        <v>51</v>
      </c>
      <c r="F21" s="5"/>
      <c r="G21" s="5"/>
    </row>
    <row r="22" spans="3:7" x14ac:dyDescent="0.25">
      <c r="C22" s="5" t="s">
        <v>194</v>
      </c>
      <c r="D22" s="5" t="s">
        <v>78</v>
      </c>
      <c r="E22" s="5" t="s">
        <v>51</v>
      </c>
      <c r="F22" s="5"/>
      <c r="G22" s="5"/>
    </row>
    <row r="23" spans="3:7" x14ac:dyDescent="0.25">
      <c r="C23" s="5" t="s">
        <v>195</v>
      </c>
      <c r="D23" s="5" t="s">
        <v>78</v>
      </c>
      <c r="E23" s="5" t="s">
        <v>51</v>
      </c>
      <c r="F23" s="5"/>
      <c r="G23" s="5"/>
    </row>
    <row r="24" spans="3:7" x14ac:dyDescent="0.25">
      <c r="C24" s="5" t="s">
        <v>196</v>
      </c>
      <c r="D24" s="5" t="s">
        <v>78</v>
      </c>
      <c r="E24" s="5" t="s">
        <v>51</v>
      </c>
      <c r="F24" s="5"/>
      <c r="G24" s="5"/>
    </row>
    <row r="25" spans="3:7" x14ac:dyDescent="0.25">
      <c r="C25" s="5" t="s">
        <v>197</v>
      </c>
      <c r="D25" s="5" t="s">
        <v>78</v>
      </c>
      <c r="E25" s="5" t="s">
        <v>51</v>
      </c>
      <c r="F25" s="5"/>
      <c r="G25" s="5"/>
    </row>
    <row r="26" spans="3:7" x14ac:dyDescent="0.25">
      <c r="C26" s="5" t="s">
        <v>198</v>
      </c>
      <c r="D26" s="5" t="s">
        <v>40</v>
      </c>
      <c r="E26" s="5" t="s">
        <v>51</v>
      </c>
      <c r="F26" s="5"/>
      <c r="G26" s="5"/>
    </row>
    <row r="27" spans="3:7" x14ac:dyDescent="0.25">
      <c r="C27" s="5" t="s">
        <v>199</v>
      </c>
      <c r="D27" s="5" t="s">
        <v>33</v>
      </c>
      <c r="E27" s="5" t="s">
        <v>51</v>
      </c>
      <c r="F27" s="5"/>
      <c r="G27" s="5"/>
    </row>
    <row r="28" spans="3:7" x14ac:dyDescent="0.25">
      <c r="C28" s="5" t="s">
        <v>54</v>
      </c>
      <c r="D28" s="5" t="s">
        <v>33</v>
      </c>
      <c r="E28" s="5" t="s">
        <v>51</v>
      </c>
      <c r="F28" s="5"/>
      <c r="G28" s="5"/>
    </row>
    <row r="29" spans="3:7" x14ac:dyDescent="0.25">
      <c r="C29" s="5" t="s">
        <v>200</v>
      </c>
      <c r="D29" s="5" t="s">
        <v>78</v>
      </c>
      <c r="E29" s="5" t="s">
        <v>51</v>
      </c>
      <c r="F29" s="5"/>
      <c r="G29" s="5"/>
    </row>
    <row r="30" spans="3:7" x14ac:dyDescent="0.25">
      <c r="C30" s="5" t="s">
        <v>201</v>
      </c>
      <c r="D30" s="5" t="s">
        <v>33</v>
      </c>
      <c r="E30" s="5" t="s">
        <v>51</v>
      </c>
      <c r="F30" s="5"/>
      <c r="G30" s="5"/>
    </row>
    <row r="31" spans="3:7" x14ac:dyDescent="0.25">
      <c r="C31" s="5" t="s">
        <v>206</v>
      </c>
      <c r="D31" s="5" t="s">
        <v>78</v>
      </c>
      <c r="E31" s="5" t="s">
        <v>51</v>
      </c>
      <c r="F31" s="5"/>
      <c r="G31" s="5"/>
    </row>
    <row r="32" spans="3:7" x14ac:dyDescent="0.25">
      <c r="C32" s="5" t="s">
        <v>202</v>
      </c>
      <c r="D32" s="5" t="s">
        <v>37</v>
      </c>
      <c r="E32" s="5" t="s">
        <v>51</v>
      </c>
      <c r="F32" s="5"/>
      <c r="G32" s="5"/>
    </row>
    <row r="33" spans="3:7" x14ac:dyDescent="0.25">
      <c r="C33" s="5" t="s">
        <v>203</v>
      </c>
      <c r="D33" s="5" t="s">
        <v>78</v>
      </c>
      <c r="E33" s="5" t="s">
        <v>51</v>
      </c>
      <c r="F33" s="5"/>
      <c r="G33" s="5"/>
    </row>
    <row r="34" spans="3:7" x14ac:dyDescent="0.25">
      <c r="C34" s="5" t="s">
        <v>207</v>
      </c>
      <c r="D34" s="5" t="s">
        <v>78</v>
      </c>
      <c r="E34" s="5" t="s">
        <v>51</v>
      </c>
      <c r="F34" s="5"/>
      <c r="G34" s="5"/>
    </row>
    <row r="35" spans="3:7" x14ac:dyDescent="0.25">
      <c r="C35" s="5" t="s">
        <v>204</v>
      </c>
      <c r="D35" s="5" t="s">
        <v>78</v>
      </c>
      <c r="E35" s="5" t="s">
        <v>51</v>
      </c>
      <c r="F35" s="5"/>
      <c r="G35" s="5"/>
    </row>
    <row r="36" spans="3:7" x14ac:dyDescent="0.25">
      <c r="C36" s="5" t="s">
        <v>208</v>
      </c>
      <c r="D36" s="5" t="s">
        <v>78</v>
      </c>
      <c r="E36" s="5" t="s">
        <v>51</v>
      </c>
      <c r="F36" s="5"/>
      <c r="G36" s="5"/>
    </row>
  </sheetData>
  <mergeCells count="3">
    <mergeCell ref="A2:C2"/>
    <mergeCell ref="A3:B3"/>
    <mergeCell ref="B4:G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C941-FA9E-4ACB-AD2C-4F315017AF30}">
  <sheetPr codeName="Sheet27"/>
  <dimension ref="A2:G22"/>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24</v>
      </c>
    </row>
    <row r="3" spans="1:7" ht="19.5" x14ac:dyDescent="0.3">
      <c r="A3" s="26" t="s">
        <v>351</v>
      </c>
      <c r="B3" s="26"/>
    </row>
    <row r="4" spans="1:7" x14ac:dyDescent="0.25">
      <c r="B4" s="28" t="s">
        <v>460</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214</v>
      </c>
      <c r="D11" s="5" t="s">
        <v>247</v>
      </c>
      <c r="E11" s="5" t="s">
        <v>34</v>
      </c>
      <c r="F11" s="5"/>
      <c r="G11" s="13" t="s">
        <v>174</v>
      </c>
    </row>
    <row r="12" spans="1:7" x14ac:dyDescent="0.25">
      <c r="C12" s="5" t="s">
        <v>215</v>
      </c>
      <c r="D12" s="5" t="s">
        <v>247</v>
      </c>
      <c r="E12" s="5" t="s">
        <v>34</v>
      </c>
      <c r="F12" s="5"/>
      <c r="G12" s="13" t="s">
        <v>435</v>
      </c>
    </row>
    <row r="13" spans="1:7" ht="30" x14ac:dyDescent="0.25">
      <c r="C13" s="5" t="s">
        <v>262</v>
      </c>
      <c r="D13" s="5" t="s">
        <v>247</v>
      </c>
      <c r="E13" s="5" t="s">
        <v>51</v>
      </c>
      <c r="F13" s="5"/>
      <c r="G13" s="13" t="s">
        <v>458</v>
      </c>
    </row>
    <row r="14" spans="1:7" x14ac:dyDescent="0.25">
      <c r="C14" s="5" t="s">
        <v>335</v>
      </c>
      <c r="D14" s="5" t="s">
        <v>247</v>
      </c>
      <c r="E14" s="5" t="s">
        <v>34</v>
      </c>
      <c r="F14" s="5"/>
      <c r="G14" s="13" t="s">
        <v>381</v>
      </c>
    </row>
    <row r="15" spans="1:7" x14ac:dyDescent="0.25">
      <c r="C15" s="5" t="s">
        <v>336</v>
      </c>
      <c r="D15" s="5" t="s">
        <v>271</v>
      </c>
      <c r="E15" s="5" t="s">
        <v>51</v>
      </c>
      <c r="F15" s="5"/>
      <c r="G15" s="13" t="s">
        <v>459</v>
      </c>
    </row>
    <row r="22" spans="7:7" x14ac:dyDescent="0.25">
      <c r="G22" s="11" t="str">
        <f>PROPER(F22)</f>
        <v/>
      </c>
    </row>
  </sheetData>
  <mergeCells count="3">
    <mergeCell ref="A2:C2"/>
    <mergeCell ref="A3:B3"/>
    <mergeCell ref="B4:G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54AF-6FBA-45FF-A4E4-458A84C17345}">
  <sheetPr codeName="Sheet28"/>
  <dimension ref="A2:G24"/>
  <sheetViews>
    <sheetView showGridLines="0" workbookViewId="0"/>
  </sheetViews>
  <sheetFormatPr defaultRowHeight="15" x14ac:dyDescent="0.25"/>
  <cols>
    <col min="1" max="2" width="9.140625" style="11"/>
    <col min="3" max="3" width="20.28515625" style="11" customWidth="1"/>
    <col min="4" max="4" width="20.5703125" style="11" customWidth="1"/>
    <col min="5" max="5" width="23.42578125" style="11" customWidth="1"/>
    <col min="6" max="6" width="24.7109375" style="11" customWidth="1"/>
    <col min="7" max="7" width="51.5703125" style="11" customWidth="1"/>
    <col min="8" max="16384" width="9.140625" style="11"/>
  </cols>
  <sheetData>
    <row r="2" spans="1:7" ht="26.25" x14ac:dyDescent="0.4">
      <c r="A2" s="25" t="s">
        <v>352</v>
      </c>
      <c r="B2" s="25"/>
      <c r="C2" s="25"/>
      <c r="D2" s="14" t="s">
        <v>25</v>
      </c>
    </row>
    <row r="3" spans="1:7" ht="19.5" x14ac:dyDescent="0.3">
      <c r="A3" s="26" t="s">
        <v>351</v>
      </c>
      <c r="B3" s="26"/>
    </row>
    <row r="4" spans="1:7" x14ac:dyDescent="0.25">
      <c r="B4" s="28" t="s">
        <v>461</v>
      </c>
      <c r="C4" s="28"/>
      <c r="D4" s="28"/>
      <c r="E4" s="28"/>
      <c r="F4" s="28"/>
      <c r="G4" s="28"/>
    </row>
    <row r="5" spans="1:7" x14ac:dyDescent="0.25">
      <c r="B5" s="28"/>
      <c r="C5" s="28"/>
      <c r="D5" s="28"/>
      <c r="E5" s="28"/>
      <c r="F5" s="28"/>
      <c r="G5" s="28"/>
    </row>
    <row r="6" spans="1:7" x14ac:dyDescent="0.25">
      <c r="B6" s="28"/>
      <c r="C6" s="28"/>
      <c r="D6" s="28"/>
      <c r="E6" s="28"/>
      <c r="F6" s="28"/>
      <c r="G6" s="28"/>
    </row>
    <row r="7" spans="1:7" x14ac:dyDescent="0.25">
      <c r="B7" s="28"/>
      <c r="C7" s="28"/>
      <c r="D7" s="28"/>
      <c r="E7" s="28"/>
      <c r="F7" s="28"/>
      <c r="G7" s="28"/>
    </row>
    <row r="10" spans="1:7" x14ac:dyDescent="0.25">
      <c r="C10" s="9" t="s">
        <v>28</v>
      </c>
      <c r="D10" s="10" t="s">
        <v>29</v>
      </c>
      <c r="E10" s="9" t="s">
        <v>30</v>
      </c>
      <c r="F10" s="9" t="s">
        <v>41</v>
      </c>
      <c r="G10" s="9" t="s">
        <v>31</v>
      </c>
    </row>
    <row r="11" spans="1:7" x14ac:dyDescent="0.25">
      <c r="C11" s="5" t="s">
        <v>429</v>
      </c>
      <c r="D11" s="5" t="s">
        <v>33</v>
      </c>
      <c r="E11" s="5" t="s">
        <v>34</v>
      </c>
      <c r="F11" s="5"/>
      <c r="G11" s="13" t="s">
        <v>174</v>
      </c>
    </row>
    <row r="12" spans="1:7" x14ac:dyDescent="0.25">
      <c r="C12" s="5" t="s">
        <v>430</v>
      </c>
      <c r="D12" s="5" t="s">
        <v>33</v>
      </c>
      <c r="E12" s="5" t="s">
        <v>34</v>
      </c>
      <c r="F12" s="5"/>
      <c r="G12" s="13" t="s">
        <v>389</v>
      </c>
    </row>
    <row r="13" spans="1:7" ht="30" x14ac:dyDescent="0.25">
      <c r="C13" s="5" t="s">
        <v>47</v>
      </c>
      <c r="D13" s="5" t="s">
        <v>33</v>
      </c>
      <c r="E13" s="5" t="s">
        <v>34</v>
      </c>
      <c r="F13" s="5"/>
      <c r="G13" s="13" t="s">
        <v>462</v>
      </c>
    </row>
    <row r="14" spans="1:7" x14ac:dyDescent="0.25">
      <c r="C14" s="5" t="s">
        <v>88</v>
      </c>
      <c r="D14" s="5" t="s">
        <v>37</v>
      </c>
      <c r="E14" s="5" t="s">
        <v>34</v>
      </c>
      <c r="F14" s="5"/>
      <c r="G14" s="13" t="s">
        <v>463</v>
      </c>
    </row>
    <row r="15" spans="1:7" x14ac:dyDescent="0.25">
      <c r="C15" s="5" t="s">
        <v>48</v>
      </c>
      <c r="D15" s="5" t="s">
        <v>33</v>
      </c>
      <c r="E15" s="5" t="s">
        <v>34</v>
      </c>
      <c r="F15" s="5"/>
      <c r="G15" s="13"/>
    </row>
    <row r="16" spans="1:7" ht="45" x14ac:dyDescent="0.25">
      <c r="C16" s="5" t="s">
        <v>94</v>
      </c>
      <c r="D16" s="5" t="s">
        <v>37</v>
      </c>
      <c r="E16" s="5" t="s">
        <v>51</v>
      </c>
      <c r="F16" s="5"/>
      <c r="G16" s="13" t="s">
        <v>464</v>
      </c>
    </row>
    <row r="17" spans="3:7" x14ac:dyDescent="0.25">
      <c r="C17" s="5" t="s">
        <v>89</v>
      </c>
      <c r="D17" s="5" t="s">
        <v>33</v>
      </c>
      <c r="E17" s="5" t="s">
        <v>51</v>
      </c>
      <c r="F17" s="5"/>
      <c r="G17" s="13" t="s">
        <v>465</v>
      </c>
    </row>
    <row r="18" spans="3:7" x14ac:dyDescent="0.25">
      <c r="C18" s="5" t="s">
        <v>53</v>
      </c>
      <c r="D18" s="5" t="s">
        <v>33</v>
      </c>
      <c r="E18" s="5" t="s">
        <v>51</v>
      </c>
      <c r="F18" s="5"/>
      <c r="G18" s="13" t="s">
        <v>466</v>
      </c>
    </row>
    <row r="19" spans="3:7" x14ac:dyDescent="0.25">
      <c r="C19" s="5" t="s">
        <v>210</v>
      </c>
      <c r="D19" s="5" t="s">
        <v>33</v>
      </c>
      <c r="E19" s="5" t="s">
        <v>51</v>
      </c>
      <c r="F19" s="5"/>
      <c r="G19" s="13"/>
    </row>
    <row r="20" spans="3:7" x14ac:dyDescent="0.25">
      <c r="C20" s="5" t="s">
        <v>211</v>
      </c>
      <c r="D20" s="5" t="s">
        <v>33</v>
      </c>
      <c r="E20" s="5" t="s">
        <v>51</v>
      </c>
      <c r="F20" s="5"/>
      <c r="G20" s="13"/>
    </row>
    <row r="21" spans="3:7" ht="30" x14ac:dyDescent="0.25">
      <c r="C21" s="5" t="s">
        <v>212</v>
      </c>
      <c r="D21" s="5" t="s">
        <v>78</v>
      </c>
      <c r="E21" s="5" t="s">
        <v>51</v>
      </c>
      <c r="F21" s="5"/>
      <c r="G21" s="13" t="s">
        <v>467</v>
      </c>
    </row>
    <row r="22" spans="3:7" x14ac:dyDescent="0.25">
      <c r="C22" s="5" t="s">
        <v>213</v>
      </c>
      <c r="D22" s="5" t="s">
        <v>78</v>
      </c>
      <c r="E22" s="5" t="s">
        <v>51</v>
      </c>
      <c r="F22" s="5"/>
      <c r="G22" s="13"/>
    </row>
    <row r="23" spans="3:7" x14ac:dyDescent="0.25">
      <c r="C23" s="5" t="s">
        <v>209</v>
      </c>
      <c r="D23" s="5" t="s">
        <v>33</v>
      </c>
      <c r="E23" s="5" t="s">
        <v>51</v>
      </c>
      <c r="F23" s="5"/>
      <c r="G23" s="13"/>
    </row>
    <row r="24" spans="3:7" x14ac:dyDescent="0.25">
      <c r="C24" s="5" t="s">
        <v>102</v>
      </c>
      <c r="D24" s="5" t="s">
        <v>78</v>
      </c>
      <c r="E24" s="5" t="s">
        <v>51</v>
      </c>
      <c r="F24" s="5"/>
      <c r="G24" s="13"/>
    </row>
  </sheetData>
  <mergeCells count="3">
    <mergeCell ref="A2:C2"/>
    <mergeCell ref="A3:B3"/>
    <mergeCell ref="B4: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Master - Reference</vt:lpstr>
      <vt:lpstr>A_CHARTDURATIONS</vt:lpstr>
      <vt:lpstr>ADDITIVES</vt:lpstr>
      <vt:lpstr>ADMISSIONS</vt:lpstr>
      <vt:lpstr>A_IODURATIONS</vt:lpstr>
      <vt:lpstr>A_MEDDURATIONS</vt:lpstr>
      <vt:lpstr>CENSUSEVENTS</vt:lpstr>
      <vt:lpstr>CHARTEVENTS</vt:lpstr>
      <vt:lpstr>COMORBIDITY_SCORES</vt:lpstr>
      <vt:lpstr>DELIVERIES</vt:lpstr>
      <vt:lpstr>DEMOGRAPHIC_DETAIL</vt:lpstr>
      <vt:lpstr>DEMOGRAPHICEVENTS</vt:lpstr>
      <vt:lpstr>D_PATIENTS</vt:lpstr>
      <vt:lpstr>DRGEVENTS</vt:lpstr>
      <vt:lpstr>ICD9</vt:lpstr>
      <vt:lpstr>ICUSTAY_DAYS</vt:lpstr>
      <vt:lpstr>ICUSTAY_DETAIL</vt:lpstr>
      <vt:lpstr>ICUSTAYEVENTS</vt:lpstr>
      <vt:lpstr>IOEVENTS</vt:lpstr>
      <vt:lpstr>LABEVENTS</vt:lpstr>
      <vt:lpstr>MEDEVENTS</vt:lpstr>
      <vt:lpstr>MICROBIOLOGYEVENTS</vt:lpstr>
      <vt:lpstr>NOTEEVENTS</vt:lpstr>
      <vt:lpstr>POE_MED</vt:lpstr>
      <vt:lpstr>POE_ORDER</vt:lpstr>
      <vt:lpstr>PROCEDUREEVENTS</vt:lpstr>
      <vt:lpstr>TOTALBALEVENTS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Giridharan G</dc:creator>
  <cp:lastModifiedBy>Giridharan G</cp:lastModifiedBy>
  <dcterms:created xsi:type="dcterms:W3CDTF">2019-10-02T22:43:26Z</dcterms:created>
  <dcterms:modified xsi:type="dcterms:W3CDTF">2019-10-07T15:36:22Z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ffc026e5-3bdd-41a7-a7f7-17c18a2ad69c</vt:lpwstr>
  </property>
  <property fmtid="{D5CDD505-2E9C-101B-9397-08002B2CF9AE}" pid="3" name="Workbook type">
    <vt:lpwstr>Custom</vt:lpwstr>
  </property>
  <property fmtid="{D5CDD505-2E9C-101B-9397-08002B2CF9AE}" pid="4" name="Workbook version">
    <vt:lpwstr>Custom</vt:lpwstr>
  </property>
</Properties>
</file>